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workbookPr/>
  <mc:AlternateContent xmlns:mc="http://schemas.openxmlformats.org/markup-compatibility/2006">
    <mc:Choice Requires="x15">
      <x15ac:absPath xmlns:x15ac="http://schemas.microsoft.com/office/spreadsheetml/2010/11/ac" url="https://d.docs.live.net/b33b22f804d197ec/Escritorio/NOTIS/"/>
    </mc:Choice>
  </mc:AlternateContent>
  <xr:revisionPtr revIDLastSave="456" documentId="11_FB471A14380168BD246C8316AC3E8B137001E61D" xr6:coauthVersionLast="47" xr6:coauthVersionMax="47" xr10:uidLastSave="{B973D205-A635-45CA-BABA-36B18E1D37B2}"/>
  <bookViews>
    <workbookView xWindow="-120" yWindow="-120" windowWidth="29040" windowHeight="15720" activeTab="1" xr2:uid="{00000000-000D-0000-FFFF-FFFF00000000}"/>
  </bookViews>
  <sheets>
    <sheet name="INFO COMERCIAL" sheetId="5" r:id="rId1"/>
    <sheet name="INFO FORMULARIO" sheetId="8" r:id="rId2"/>
    <sheet name="MEMORIA" sheetId="9" r:id="rId3"/>
    <sheet name="ACREEDORES" sheetId="1" r:id="rId4"/>
    <sheet name="INGRESOS Y GASTOS" sheetId="3" r:id="rId5"/>
    <sheet name="BIENES" sheetId="4" r:id="rId6"/>
    <sheet name="BEPI CON PLAN DE PAGOS" sheetId="6" r:id="rId7"/>
    <sheet name="CONVENIO" sheetId="7" r:id="rId8"/>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4" l="1"/>
  <c r="K8" i="4"/>
  <c r="K7" i="4"/>
  <c r="H9" i="4"/>
  <c r="K6" i="4"/>
  <c r="K5" i="4"/>
  <c r="K37" i="6"/>
  <c r="J37" i="6"/>
  <c r="B37" i="6"/>
  <c r="I37" i="6" s="1"/>
  <c r="B36" i="6"/>
  <c r="I36" i="6" s="1"/>
  <c r="B35" i="6"/>
  <c r="G35" i="6" s="1"/>
  <c r="I34" i="6"/>
  <c r="B34" i="6"/>
  <c r="E34" i="6" s="1"/>
  <c r="B33" i="6"/>
  <c r="C33" i="6" s="1"/>
  <c r="B32" i="6"/>
  <c r="K32" i="6" s="1"/>
  <c r="B31" i="6"/>
  <c r="K31" i="6" s="1"/>
  <c r="B30" i="6"/>
  <c r="I30" i="6" s="1"/>
  <c r="B29" i="6"/>
  <c r="G29" i="6" s="1"/>
  <c r="B28" i="6"/>
  <c r="E28" i="6" s="1"/>
  <c r="K27" i="6"/>
  <c r="J27" i="6"/>
  <c r="I27" i="6"/>
  <c r="H27" i="6"/>
  <c r="F27" i="6"/>
  <c r="E27" i="6"/>
  <c r="B27" i="6"/>
  <c r="C27" i="6" s="1"/>
  <c r="K26" i="6"/>
  <c r="J26" i="6"/>
  <c r="I26" i="6"/>
  <c r="H26" i="6"/>
  <c r="G26" i="6"/>
  <c r="F26" i="6"/>
  <c r="E26" i="6"/>
  <c r="D26" i="6"/>
  <c r="C26" i="6"/>
  <c r="C9" i="1"/>
  <c r="E9" i="1"/>
  <c r="C22" i="6"/>
  <c r="D21" i="6"/>
  <c r="D20" i="6"/>
  <c r="D22" i="6" s="1"/>
  <c r="F15" i="6"/>
  <c r="E15" i="6"/>
  <c r="D15" i="6"/>
  <c r="C10" i="6"/>
  <c r="D9" i="6"/>
  <c r="E9" i="6" s="1"/>
  <c r="G9" i="6" s="1"/>
  <c r="D8" i="6"/>
  <c r="E8" i="6" s="1"/>
  <c r="G8" i="6" s="1"/>
  <c r="D7" i="6"/>
  <c r="E7" i="6" s="1"/>
  <c r="G7" i="6" s="1"/>
  <c r="D6" i="6"/>
  <c r="E6" i="6" s="1"/>
  <c r="G6" i="6" s="1"/>
  <c r="D5" i="6"/>
  <c r="E5" i="6" s="1"/>
  <c r="G5" i="6" s="1"/>
  <c r="D4" i="6"/>
  <c r="B17" i="3"/>
  <c r="D9" i="1"/>
  <c r="K9" i="4" l="1"/>
  <c r="B14" i="1"/>
  <c r="F8" i="1" s="1"/>
  <c r="A7" i="7"/>
  <c r="F5" i="1"/>
  <c r="F6" i="1"/>
  <c r="F7" i="1"/>
  <c r="F33" i="6"/>
  <c r="G33" i="6"/>
  <c r="D32" i="6"/>
  <c r="I33" i="6"/>
  <c r="E32" i="6"/>
  <c r="C37" i="6"/>
  <c r="I28" i="6"/>
  <c r="F32" i="6"/>
  <c r="K33" i="6"/>
  <c r="D37" i="6"/>
  <c r="J28" i="6"/>
  <c r="G32" i="6"/>
  <c r="E37" i="6"/>
  <c r="K28" i="6"/>
  <c r="H32" i="6"/>
  <c r="H34" i="6"/>
  <c r="F37" i="6"/>
  <c r="J35" i="6"/>
  <c r="K35" i="6"/>
  <c r="C32" i="6"/>
  <c r="H33" i="6"/>
  <c r="H28" i="6"/>
  <c r="J33" i="6"/>
  <c r="I32" i="6"/>
  <c r="G37" i="6"/>
  <c r="J29" i="6"/>
  <c r="J32" i="6"/>
  <c r="J34" i="6"/>
  <c r="H37" i="6"/>
  <c r="G27" i="6"/>
  <c r="K29" i="6"/>
  <c r="K34" i="6"/>
  <c r="C30" i="6"/>
  <c r="E31" i="6"/>
  <c r="C36" i="6"/>
  <c r="D30" i="6"/>
  <c r="D36" i="6"/>
  <c r="C29" i="6"/>
  <c r="G31" i="6"/>
  <c r="C35" i="6"/>
  <c r="F30" i="6"/>
  <c r="F36" i="6"/>
  <c r="C28" i="6"/>
  <c r="G30" i="6"/>
  <c r="I31" i="6"/>
  <c r="C34" i="6"/>
  <c r="E35" i="6"/>
  <c r="D28" i="6"/>
  <c r="H36" i="6"/>
  <c r="D27" i="6"/>
  <c r="F28" i="6"/>
  <c r="H29" i="6"/>
  <c r="J30" i="6"/>
  <c r="D33" i="6"/>
  <c r="F34" i="6"/>
  <c r="H35" i="6"/>
  <c r="J36" i="6"/>
  <c r="C31" i="6"/>
  <c r="F31" i="6"/>
  <c r="G28" i="6"/>
  <c r="I29" i="6"/>
  <c r="K30" i="6"/>
  <c r="E33" i="6"/>
  <c r="G34" i="6"/>
  <c r="I35" i="6"/>
  <c r="K36" i="6"/>
  <c r="D31" i="6"/>
  <c r="E30" i="6"/>
  <c r="E36" i="6"/>
  <c r="D29" i="6"/>
  <c r="H31" i="6"/>
  <c r="D35" i="6"/>
  <c r="E29" i="6"/>
  <c r="G36" i="6"/>
  <c r="F29" i="6"/>
  <c r="H30" i="6"/>
  <c r="J31" i="6"/>
  <c r="D34" i="6"/>
  <c r="F35" i="6"/>
  <c r="D10" i="6"/>
  <c r="E4" i="6"/>
  <c r="G4" i="6" s="1"/>
  <c r="G10" i="6" s="1"/>
  <c r="F9" i="1" l="1"/>
</calcChain>
</file>

<file path=xl/sharedStrings.xml><?xml version="1.0" encoding="utf-8"?>
<sst xmlns="http://schemas.openxmlformats.org/spreadsheetml/2006/main" count="351" uniqueCount="305">
  <si>
    <t xml:space="preserve"> POSIBLE CLIENTE</t>
  </si>
  <si>
    <t>NOMBRE Y APELLIDOS</t>
  </si>
  <si>
    <t>Juan  Ruiz Plaza</t>
  </si>
  <si>
    <t>DNI</t>
  </si>
  <si>
    <t>2230901Q</t>
  </si>
  <si>
    <t>INFO CONTACTO</t>
  </si>
  <si>
    <t>DIRECCION</t>
  </si>
  <si>
    <t>Calle Lepanto 21 Villa de Ubrique 45805 Toledo</t>
  </si>
  <si>
    <t>TLF CONTACTO</t>
  </si>
  <si>
    <t>Email</t>
  </si>
  <si>
    <t>juanpalomajr7@gmail.com</t>
  </si>
  <si>
    <t>HONORARIOS Y FORMA DE PAGO</t>
  </si>
  <si>
    <t>3495 + iva= 4228, 95 euros, en cuotas de 100 €,</t>
  </si>
  <si>
    <t>DATOS PERSONALES</t>
  </si>
  <si>
    <t>OBSERVACIONES</t>
  </si>
  <si>
    <t>Estado civil</t>
  </si>
  <si>
    <t>Divorciado</t>
  </si>
  <si>
    <t>Regimen laboral</t>
  </si>
  <si>
    <t>Jubilado</t>
  </si>
  <si>
    <t>INFO PERSONAL</t>
  </si>
  <si>
    <t>Motivo de endeudamiento ( insolvencia actual o inminente)</t>
  </si>
  <si>
    <t>El haber contraido una enfermedad</t>
  </si>
  <si>
    <t>Titularidad de las deudas</t>
  </si>
  <si>
    <t>Juan Ruiz Plaza</t>
  </si>
  <si>
    <t>Fiadores y/o avalistas</t>
  </si>
  <si>
    <t>No</t>
  </si>
  <si>
    <t>Antecedentes penales ( ultimos 10 años)</t>
  </si>
  <si>
    <t>IMPOSIBILIDAD</t>
  </si>
  <si>
    <t>Sanciones administrativas por infracciones graves o muy graves contra la EAT y SS o derivacion de responsabilidad ( ultimos 10 años)</t>
  </si>
  <si>
    <t>persona afectada en la sentencia de calificación del concurso de un tercero que fue calificado como culpable --&gt; te ha afectado alguna sentencia de calificacion en otro proceso concursal ¿?</t>
  </si>
  <si>
    <t>nº aproximado de acreedores</t>
  </si>
  <si>
    <t>Insolvencia</t>
  </si>
  <si>
    <t>si</t>
  </si>
  <si>
    <t>has sacado bienes de tu patrimonio de forma fraudulenta en los 2 ultimos años¿? --&gt; pag 35 diapositivas</t>
  </si>
  <si>
    <t>PROHIBICION</t>
  </si>
  <si>
    <t>te han concedido en la ultimos 2 años el BEPI ¿?</t>
  </si>
  <si>
    <t>INFO DEL PROCEDIMIENTO</t>
  </si>
  <si>
    <t>COSTE</t>
  </si>
  <si>
    <t>procurador, abogado, AC ( opcional experto en restructuracion)</t>
  </si>
  <si>
    <t>(indicar si hay promocion)</t>
  </si>
  <si>
    <t>DURACION</t>
  </si>
  <si>
    <t>desde el auto de declaracion de concurso minimo un año</t>
  </si>
  <si>
    <t>EFECTOS DE LA DECLARACION DE CONCURSO</t>
  </si>
  <si>
    <t>paralizacion de los procedimientos declarativos y de ejecucion --&gt; excepcion los procedimientos de ejecucion hipotecaria cuando NO sean bienes necesarios para la continuidad de la actividad labral</t>
  </si>
  <si>
    <t>suspension del devengo de intereses</t>
  </si>
  <si>
    <t>si nombran a un AC, suspension o intervencion de sus facultades</t>
  </si>
  <si>
    <t>ESTRATEGIA</t>
  </si>
  <si>
    <t>CL persona fisicas y/o autonomos con buena capidad de pago y bienes</t>
  </si>
  <si>
    <t>presentar propuesta de convenio</t>
  </si>
  <si>
    <t>propuesta quita y espera para los creditos ordinarios y subordinados</t>
  </si>
  <si>
    <t>CL persona fisicas sin bienes</t>
  </si>
  <si>
    <t>concurso sin masa</t>
  </si>
  <si>
    <t>solicitud de BEPI definitivo</t>
  </si>
  <si>
    <t xml:space="preserve">CL persona fisicas con bienes </t>
  </si>
  <si>
    <t>opcion A) liquidar bienes y luego BEPI definitivo</t>
  </si>
  <si>
    <t>opcion B) no liquidar bienes y presentar BEPI con plan de pagos</t>
  </si>
  <si>
    <t>DEUDA NO EXONERABLE ( se ha de pagar todo y pueden tramitar procedimientos de ejecucion para cobrarla)</t>
  </si>
  <si>
    <t>deudas de resposabilidad civil extracontractual o por delito</t>
  </si>
  <si>
    <t>deuda por alimentos</t>
  </si>
  <si>
    <t xml:space="preserve">deudas por salarios correspondientes a los últimos sesenta días de trabajo efectivo </t>
  </si>
  <si>
    <t>deuda de credito publico ( si se perdonará hasta llegar a un max. De 10.000€ con la EAT y otros 10.000 con la SS)</t>
  </si>
  <si>
    <t>multas a que hubiera sido condenado el deudor en procesos penales y por sanciones administrativas muy graves</t>
  </si>
  <si>
    <t>deudas con garantia real</t>
  </si>
  <si>
    <t>AMPLIAR CON:</t>
  </si>
  <si>
    <t>PRECONCURSO</t>
  </si>
  <si>
    <t>persona natural o juridica que lleve a cabo una actividad empresarial o prefesional</t>
  </si>
  <si>
    <t>podrá realizae apertura de negociaciones con acreedores o solicitar la homologacion de un plan de restructuracion</t>
  </si>
  <si>
    <t>quedan excluidos los deudores cuyo ambiento de aplicación sea el libro III ( las micropymes)</t>
  </si>
  <si>
    <t>posibilidad de nombrar experto independiente</t>
  </si>
  <si>
    <t>lo que busca el deudor es tratar de salvar su negocio y evitar el concurso</t>
  </si>
  <si>
    <t>PROCEDIMIENTO ESPECIAL MICROEMPRESAS</t>
  </si>
  <si>
    <t>deudores persona natural o juridica que lleve a cabo una actividad empresarial o prefesional</t>
  </si>
  <si>
    <t>haber empleado en el año anterio una media de menos de 10 trabajadores</t>
  </si>
  <si>
    <t>tener un volumen de negocio inferior a 700.000€  o un pasivo inferior a 350.000€</t>
  </si>
  <si>
    <t>se tramitará como procedimiento de continuidad ( para intentar salvar la empresa) o como procedimientos de liquidacion con o sin trasmision de la empresa</t>
  </si>
  <si>
    <t>El libro tercero de la presente ley entrará en vigor el 1 de enero de 2023</t>
  </si>
  <si>
    <t>ESTUDIO LEGAL</t>
  </si>
  <si>
    <t>APROXIMADO</t>
  </si>
  <si>
    <t>ACREEDOR</t>
  </si>
  <si>
    <t>DEUDA POR DEDUOR ORDINARIA</t>
  </si>
  <si>
    <t>CUOTA/MES</t>
  </si>
  <si>
    <t>%</t>
  </si>
  <si>
    <t>CONTACTO</t>
  </si>
  <si>
    <t>DEUDA PRIVILEGIADA</t>
  </si>
  <si>
    <t>PROCEDIMIETOS JUDICIALES</t>
  </si>
  <si>
    <t>Fecha solicitud</t>
  </si>
  <si>
    <t>Fecha Vencimiento</t>
  </si>
  <si>
    <t>EOS SPAIN</t>
  </si>
  <si>
    <t>PROCEDIMIENTO MONITORIO 1363.2024 JUZGADO DE 1ª INSTANCIA E INSTRUCCION Nº1 DE OCAÑA</t>
  </si>
  <si>
    <t>CAIXABANK, S.A.***001PRS9620251257039***</t>
  </si>
  <si>
    <t xml:space="preserve">AGENCIA TRIBUTARIA </t>
  </si>
  <si>
    <t xml:space="preserve">DEUDA PÚBLICA </t>
  </si>
  <si>
    <t xml:space="preserve">
17/02/2025</t>
  </si>
  <si>
    <t>TOTAL</t>
  </si>
  <si>
    <t>PASIVO TOTAL</t>
  </si>
  <si>
    <t>DETERMINAR LA INSOLVENCIA</t>
  </si>
  <si>
    <t>ingresos-gastos- pago mensual acreedores ( negativo)</t>
  </si>
  <si>
    <t>OK es insolvente</t>
  </si>
  <si>
    <t>Activo -pasavo (negativo)</t>
  </si>
  <si>
    <t>VARIABLES PROPUESTA</t>
  </si>
  <si>
    <t>Espera 2 años (24 cuotas)</t>
  </si>
  <si>
    <t>Espera 3 años (36 cuotas)</t>
  </si>
  <si>
    <t>Espera 4 años (48 cuotas)</t>
  </si>
  <si>
    <t>Espera 5 años (60 cuotas)</t>
  </si>
  <si>
    <t>Espera 6 años (72 cuotas)</t>
  </si>
  <si>
    <t>Espera 7 años (84 cuotas)</t>
  </si>
  <si>
    <t>Espera 8 años (96 cuotas)</t>
  </si>
  <si>
    <t>Espera 9 años (108 cuotas)</t>
  </si>
  <si>
    <t>Espera 10 años (120 cuotas)</t>
  </si>
  <si>
    <t>Quita 0% a pagar</t>
  </si>
  <si>
    <t>Quita 10% a pagar</t>
  </si>
  <si>
    <t>Quita 20% a pagar</t>
  </si>
  <si>
    <t>Quita 25% a àgar</t>
  </si>
  <si>
    <t>Quita 30% a pagar</t>
  </si>
  <si>
    <t>Quita 40% a pagar</t>
  </si>
  <si>
    <t>Quita 50% a pagar</t>
  </si>
  <si>
    <t>Quita 60% a pagar</t>
  </si>
  <si>
    <t>Quita 70% a pagar</t>
  </si>
  <si>
    <t>Quita 75% a pagar</t>
  </si>
  <si>
    <t xml:space="preserve">Quita 80%, a pagar </t>
  </si>
  <si>
    <t>Quita 98 %, a pagar</t>
  </si>
  <si>
    <t>GASTOS</t>
  </si>
  <si>
    <t>CUOTA MENSUAL</t>
  </si>
  <si>
    <t>EFECTIVO O DOMICILIACION BANCARIA</t>
  </si>
  <si>
    <t>nº de cuenta</t>
  </si>
  <si>
    <t>ALQUILER</t>
  </si>
  <si>
    <t>VIVIENDA DE UN FAMILIAR</t>
  </si>
  <si>
    <t>TELÉFONO E INTERNET</t>
  </si>
  <si>
    <t>LUZ</t>
  </si>
  <si>
    <t>ALIMENTACIÓN</t>
  </si>
  <si>
    <t>GASOLINA</t>
  </si>
  <si>
    <t>SEGURO</t>
  </si>
  <si>
    <t>INGRESOS</t>
  </si>
  <si>
    <t>DIFERECIA</t>
  </si>
  <si>
    <t>Vivienda</t>
  </si>
  <si>
    <t>DEUDA EXONERABLE</t>
  </si>
  <si>
    <t>IDENTIDAD DEL ACREEDOR</t>
  </si>
  <si>
    <t>DEUDA</t>
  </si>
  <si>
    <t>IMPORTE A ABONAR</t>
  </si>
  <si>
    <t>Nº DE MESES</t>
  </si>
  <si>
    <t>IMPUGNACION DEL PLAN DE PAGOS POR EL 40% de los acreedores</t>
  </si>
  <si>
    <t>IMPUGNACION DEL PLAN DE PAGOS POR EL 80% de los acreedores</t>
  </si>
  <si>
    <t>Cuando el plan de pagos no incluya la realización y aplicación al pago de la deuda exonerable, de la deuda no exonerable o de las nuevas obligaciones del deudor de la totalidad de los activos que no resulten necesarios para la actividad empresarial o profesional del deudor o de su vivienda habitual, siempre que los acreedores impugnantes representen al menos el cuarenta por ciento del pasivo total de carácter exonerable</t>
  </si>
  <si>
    <t>Cuando se constatara la oposición al plan de pagos por parte de acreedores que representen más del ochenta por ciento de la deuda exonerable afectada por el plan de pagos, salvo que el juez, atendiendo a las particulares circunstancias del caso, lo imponga</t>
  </si>
  <si>
    <t>Activo sobrante</t>
  </si>
  <si>
    <t>DEUDA  NO EXONERABLE</t>
  </si>
  <si>
    <t>IMPORTA A PAGAR ( restando los 10.000€)</t>
  </si>
  <si>
    <t>FORMA DE PAGO</t>
  </si>
  <si>
    <t>ninguno</t>
  </si>
  <si>
    <t>PROPUESTA DE CONVENIO</t>
  </si>
  <si>
    <t>Deuda Total</t>
  </si>
  <si>
    <t>PROPUESTA QUITA DEL 20% a pagar el 3 años</t>
  </si>
  <si>
    <t>VOTOS A FAVOR ( mas votos a favor que en contra)</t>
  </si>
  <si>
    <t>VOTOS EN CONTRA</t>
  </si>
  <si>
    <t>PROPUESTA QUITA DEL 50% a pagar el 5 años</t>
  </si>
  <si>
    <t>VOTOS A FAVOR ( del 50%</t>
  </si>
  <si>
    <t>PROPUESTA QUITA superior al 50% a pagar en mas 5 años</t>
  </si>
  <si>
    <t>VOTOS A FAVOR ( del 65%</t>
  </si>
  <si>
    <t>Juzgado competente (domicilio del deudor).</t>
  </si>
  <si>
    <t>Provincia / Partido judicial.</t>
  </si>
  <si>
    <t>Abogado asignado.</t>
  </si>
  <si>
    <t>Procurador asignado.</t>
  </si>
  <si>
    <t>Tipo de procedimiento:.</t>
  </si>
  <si>
    <t xml:space="preserve"> Concurso sin masa (art. 37 bis)</t>
  </si>
  <si>
    <t>Mercantil</t>
  </si>
  <si>
    <t>Madrid</t>
  </si>
  <si>
    <t>Gonzalo Bellon de Aguilar</t>
  </si>
  <si>
    <t>DOÑA MARIA GONZALEZ GONZALEZ Procuradora de los Tribunales con número de colegiada 746 del Ilustre Colegio de Valencia</t>
  </si>
  <si>
    <t>Poder especial otorgado previamente</t>
  </si>
  <si>
    <t>1)Datos procesales y de competencia</t>
  </si>
  <si>
    <t>Estado civil (soltero/a, casado/a, divorciado/a).</t>
  </si>
  <si>
    <t>Régimen económico matrimonial (gananciales, separación, participación).</t>
  </si>
  <si>
    <t>Cónyuge: Nombre y DNI.</t>
  </si>
  <si>
    <t>Si el cónyuge debe intervenir (sí/no).</t>
  </si>
  <si>
    <t>2) Deudor / estado civil / régimen económico</t>
  </si>
  <si>
    <t>Nombre y apellidos</t>
  </si>
  <si>
    <t>Datos del Registro Civil:</t>
  </si>
  <si>
    <t>¿Tiene la condición de empresario, autónomo o asimilados?</t>
  </si>
  <si>
    <t>Lugar de residencia o domicilio profesional</t>
  </si>
  <si>
    <t>Modificación del domicilio en los últimos seis meses</t>
  </si>
  <si>
    <t>¿Ha solicitado el cónyuge el concurso? </t>
  </si>
  <si>
    <t>Clase de insolvencia: ​​Actual /​Inminente </t>
  </si>
  <si>
    <t>Hechos de la insolvencia</t>
  </si>
  <si>
    <t>¿Tiene trabajadores a cargo?</t>
  </si>
  <si>
    <t>Valoración del activo</t>
  </si>
  <si>
    <t>Cuantía del pasivo</t>
  </si>
  <si>
    <t>Número de acreedores</t>
  </si>
  <si>
    <t>Vivienda habitual</t>
  </si>
  <si>
    <t>¿Es propietario de su vivienda habitual? </t>
  </si>
  <si>
    <t>En caso afirmativo, responda a las siguientes preguntas: </t>
  </si>
  <si>
    <t>a. ¿Está gravada con hipoteca? </t>
  </si>
  <si>
    <t>b. En caso afirmativo, ¿con qué entidad financiera? </t>
  </si>
  <si>
    <t>c. ¿Está al corriente en el pago de las cuotas hipotecarias? </t>
  </si>
  <si>
    <t>d. Importe de la cuota hipotecaria mensual </t>
  </si>
  <si>
    <t>e. Límite de la responsabilidad hipotecaria. </t>
  </si>
  <si>
    <t>f. Capital pendiente </t>
  </si>
  <si>
    <t>g. ¿Está al corriente en el pago de las cuotas de comunidad? </t>
  </si>
  <si>
    <t>h. ¿Está al corriente de pago en los impuestos que gravan la vivienda? </t>
  </si>
  <si>
    <r>
      <t>3) SOLUCION DELCONCURSO</t>
    </r>
    <r>
      <rPr>
        <sz val="10"/>
        <rFont val="Arial"/>
        <family val="2"/>
      </rPr>
      <t> </t>
    </r>
  </si>
  <si>
    <r>
      <t>☒</t>
    </r>
    <r>
      <rPr>
        <b/>
        <sz val="10"/>
        <rFont val="Arial"/>
        <family val="2"/>
      </rPr>
      <t>DOCUMENTO NÚM. 1 SOLICITUD DE CONCURSO VOLUNTARIO</t>
    </r>
    <r>
      <rPr>
        <sz val="10"/>
        <rFont val="Arial"/>
        <family val="2"/>
      </rPr>
      <t> </t>
    </r>
  </si>
  <si>
    <r>
      <t>☒</t>
    </r>
    <r>
      <rPr>
        <b/>
        <sz val="10"/>
        <rFont val="Arial"/>
        <family val="2"/>
      </rPr>
      <t>DOCUMENTO NÚM. 1.1 PODER APUD ACTA</t>
    </r>
    <r>
      <rPr>
        <sz val="10"/>
        <rFont val="Arial"/>
        <family val="2"/>
      </rPr>
      <t> </t>
    </r>
  </si>
  <si>
    <r>
      <t>☒</t>
    </r>
    <r>
      <rPr>
        <b/>
        <sz val="10"/>
        <rFont val="Arial"/>
        <family val="2"/>
      </rPr>
      <t xml:space="preserve"> DOCUMENTO NÚM. 2 MEMORIA HISTÓRICO ECONÓMICA.</t>
    </r>
    <r>
      <rPr>
        <sz val="10"/>
        <rFont val="Arial"/>
        <family val="2"/>
      </rPr>
      <t> </t>
    </r>
  </si>
  <si>
    <r>
      <t>☒</t>
    </r>
    <r>
      <rPr>
        <b/>
        <sz val="10"/>
        <rFont val="Arial"/>
        <family val="2"/>
      </rPr>
      <t xml:space="preserve"> DOCUMENTO NÚM. 2.1 ÍNDICE DOC MEMORIA.</t>
    </r>
    <r>
      <rPr>
        <sz val="10"/>
        <rFont val="Arial"/>
        <family val="2"/>
      </rPr>
      <t> </t>
    </r>
  </si>
  <si>
    <r>
      <t>☒</t>
    </r>
    <r>
      <rPr>
        <b/>
        <sz val="10"/>
        <rFont val="Arial"/>
        <family val="2"/>
      </rPr>
      <t xml:space="preserve"> DOCUMENTO NÚM. 3 INVENTARIO DE BIENES Y DERECHOS.</t>
    </r>
    <r>
      <rPr>
        <sz val="10"/>
        <rFont val="Arial"/>
        <family val="2"/>
      </rPr>
      <t> </t>
    </r>
  </si>
  <si>
    <r>
      <t>☒</t>
    </r>
    <r>
      <rPr>
        <b/>
        <sz val="10"/>
        <rFont val="Arial"/>
        <family val="2"/>
      </rPr>
      <t xml:space="preserve"> DOCUMENTO NÚM. 3.1 ÍNDICE INVENTARIO DE BIENES</t>
    </r>
    <r>
      <rPr>
        <sz val="10"/>
        <rFont val="Arial"/>
        <family val="2"/>
      </rPr>
      <t> </t>
    </r>
  </si>
  <si>
    <r>
      <t>☒</t>
    </r>
    <r>
      <rPr>
        <b/>
        <sz val="10"/>
        <rFont val="Arial"/>
        <family val="2"/>
      </rPr>
      <t xml:space="preserve"> DOCUMENTO NÚM. 4 RELACIÓN DE ACREEDORES.</t>
    </r>
    <r>
      <rPr>
        <sz val="10"/>
        <rFont val="Arial"/>
        <family val="2"/>
      </rPr>
      <t> </t>
    </r>
  </si>
  <si>
    <r>
      <t>☒</t>
    </r>
    <r>
      <rPr>
        <b/>
        <sz val="10"/>
        <rFont val="Arial"/>
        <family val="2"/>
      </rPr>
      <t xml:space="preserve"> DOCUMENTO NÚM. 4.1 ÍNDICE LISTADO DE ACREEDORES.</t>
    </r>
    <r>
      <rPr>
        <sz val="10"/>
        <rFont val="Arial"/>
        <family val="2"/>
      </rPr>
      <t> </t>
    </r>
  </si>
  <si>
    <r>
      <t>4) DOCUMENTACIÓN QUE ACOMPAÑA A LASOLICITUD</t>
    </r>
    <r>
      <rPr>
        <sz val="10"/>
        <rFont val="Arial"/>
        <family val="2"/>
      </rPr>
      <t> </t>
    </r>
  </si>
  <si>
    <t>a. El concursado carezca de bienes y derechos que sean legalmente embargables.</t>
  </si>
  <si>
    <t>b. El coste de realización de los bienes y derechos del concursado fuera manifiestamente desproporcionado respecto al previsible valor venal.</t>
  </si>
  <si>
    <t>c. Los bienes y derechos del concursado libres de cargas fueran de valor inferior al previsible coste del procedimiento.</t>
  </si>
  <si>
    <t>d. Los gravámenes y las cargas existentes sobre los bienes y derechos del concursado lo sean por importe superior al valor de mercado de esos bienes y derechos.</t>
  </si>
  <si>
    <t>NIF:0000035; Domicilio: C/ prueba 2 de Madrid; tlf: 987-32-32-32; email: purba@gmail.com</t>
  </si>
  <si>
    <t>PRODUCTO/ TIPO DE DEUDA</t>
  </si>
  <si>
    <t>Ramon Romino Romino</t>
  </si>
  <si>
    <t>Rgistro civil de Madrid 258479</t>
  </si>
  <si>
    <t>no</t>
  </si>
  <si>
    <t>C/ prueba prueba 1 28701 Madrid</t>
  </si>
  <si>
    <t>soltero</t>
  </si>
  <si>
    <t>Garantia real/personal</t>
  </si>
  <si>
    <t>Rerserva de Dominio( si/no)</t>
  </si>
  <si>
    <t>Contrato de Arrendamiento Financiero (si/no)</t>
  </si>
  <si>
    <t>Expedientes de Apremio ( Nº expte y  organismo)</t>
  </si>
  <si>
    <t>nº 23/15 EAT</t>
  </si>
  <si>
    <t>real: Finca R2013</t>
  </si>
  <si>
    <t>PRESTAMO</t>
  </si>
  <si>
    <t>PRESTAMO HIPOTECARIO</t>
  </si>
  <si>
    <t>SANTANDER CONSUMER</t>
  </si>
  <si>
    <t>SI:Matrícula5705FCG</t>
  </si>
  <si>
    <t>CONCEPTOS</t>
  </si>
  <si>
    <t>Leasing (arrendamiento financiero): no eres propietario hasta que ejercites la opción de compra.</t>
  </si>
  <si>
    <t>Reserva de dominio (venta a plazos): eres comprador desde el inicio, pero la propiedad está “retenida” por el vendedor/financiera como garantía hasta el pago total.</t>
  </si>
  <si>
    <t>El expediente de apremio refleja una deuda pública en fase de ejecución forzosa (impago a Hacienda/Seguridad Social).</t>
  </si>
  <si>
    <t>Copia del DNI</t>
  </si>
  <si>
    <t>Certificado de Nacimiento</t>
  </si>
  <si>
    <t>Certificado de empadronamiento</t>
  </si>
  <si>
    <t>Certificado nacimiento hija</t>
  </si>
  <si>
    <t>Copia Divorcio</t>
  </si>
  <si>
    <t>Certificado de vida laboral</t>
  </si>
  <si>
    <t>Contrato y 3 últimas nóminas</t>
  </si>
  <si>
    <t>Certificado integrado de prestaciones</t>
  </si>
  <si>
    <t>Certificado no es beneficiario de la prestación de subsidio por desempleo</t>
  </si>
  <si>
    <t>Las 3 últimas rentas o certificado de no tiene la obligación de hacerla.</t>
  </si>
  <si>
    <t>Certificados de las titularidades de las cuentas y/o extracto bancario de los últimos 3 años.</t>
  </si>
  <si>
    <t>Solicitud certificado de antecedentes penales</t>
  </si>
  <si>
    <t>N.º</t>
  </si>
  <si>
    <t>Bien/Derecho</t>
  </si>
  <si>
    <t>Naturaleza</t>
  </si>
  <si>
    <t>Características</t>
  </si>
  <si>
    <t>Ubicación</t>
  </si>
  <si>
    <t>Registro público (si procede)</t>
  </si>
  <si>
    <t>Valor de adquisición (€)</t>
  </si>
  <si>
    <t>Valor estimado de mercado (€)</t>
  </si>
  <si>
    <t>Gravámenes, cargas o trabas</t>
  </si>
  <si>
    <t>Acreedor/Tercero afectado</t>
  </si>
  <si>
    <t>Datos registrales del gravamen/carga</t>
  </si>
  <si>
    <t>Inmueble</t>
  </si>
  <si>
    <t>Piso de 90 m², 3 dormitorios, 2 baños</t>
  </si>
  <si>
    <t>Calle X, Ciudad Y</t>
  </si>
  <si>
    <t>Registro de la Propiedad nº Z, finca nº 12345</t>
  </si>
  <si>
    <t>Hipoteca</t>
  </si>
  <si>
    <t>Banco A</t>
  </si>
  <si>
    <t>Registro Propiedad nº Z, asiento 1</t>
  </si>
  <si>
    <t>Vehículo</t>
  </si>
  <si>
    <t>Mueble</t>
  </si>
  <si>
    <t>Coche marca/modelo, año 2019, matrícula ABC123</t>
  </si>
  <si>
    <t>Garaje particular</t>
  </si>
  <si>
    <t>N/A</t>
  </si>
  <si>
    <t>Financiera B</t>
  </si>
  <si>
    <t>Cuenta bancaria</t>
  </si>
  <si>
    <t>Derecho</t>
  </si>
  <si>
    <t>Cuenta corriente nº XXXX-XXXX-XXXX-XXXX</t>
  </si>
  <si>
    <t>Banco C, sucursal Z</t>
  </si>
  <si>
    <t>Ninguna</t>
  </si>
  <si>
    <t>Participaciones societarias</t>
  </si>
  <si>
    <t>30% de participación en empresa XYZ SL</t>
  </si>
  <si>
    <t>Domicilio social de la empresa</t>
  </si>
  <si>
    <t>Registro Mercantil de Ciudad Y</t>
  </si>
  <si>
    <t>Embargo parcial</t>
  </si>
  <si>
    <t>Agencia Tributaria</t>
  </si>
  <si>
    <t>Registro Mercantil de Ciudad Y, asiento 2</t>
  </si>
  <si>
    <t>reserva de dominio</t>
  </si>
  <si>
    <t>Importe de las grantias</t>
  </si>
  <si>
    <t>DIFERENCIA( V-G)</t>
  </si>
  <si>
    <t>VALOR ACTIVO</t>
  </si>
  <si>
    <t>( Todo lo que salga en la casilla K7 en negativo el valor de los bienes sera 0€)</t>
  </si>
  <si>
    <t>Ingresos mensuales</t>
  </si>
  <si>
    <t>Salario neto mensual percibido del empleo actual</t>
  </si>
  <si>
    <t>Aviones SL</t>
  </si>
  <si>
    <t>Minimo Inenbargable</t>
  </si>
  <si>
    <t>Importe Disponible</t>
  </si>
  <si>
    <t>nomina</t>
  </si>
  <si>
    <t>1)Supuestos de concurso sin masa:</t>
  </si>
  <si>
    <t>2) LISTADO DE DOCUMENTOS A APORTAR CON LA DDA:</t>
  </si>
  <si>
    <t>Respuesta para DDA</t>
  </si>
  <si>
    <t>B</t>
  </si>
  <si>
    <t>ACTUAL</t>
  </si>
  <si>
    <t>Relato: Durante el periodo comprendido entre 2019 y 2023, el deudor se encontró en una situación de desempleo prolongado que le impidió percibir ingresos suficientes para atender sus obligaciones económicas y mantener un nivel mínimo de solvencia personal y familiar. Esta falta de ingresos estables supuso la imposibilidad de cumplir puntualmente con los compromisos contraídos con sus acreedores, generando un estado de insolvencia sobrevenido que no pudo ser evitado mediante sus propios esfuerzos de reorganización financiera.
A esta situación se suman los gastos ordinarios y esenciales de su núcleo familiar, que incluyen alimentación, vivienda, servicios básicos, transporte y educación de sus hijos, así como circunstancias imprevistas que incrementaron las necesidades económicas del hogar. El conjunto de estas circunstancias demuestra que el deudor se ha visto imposibilitado de forma real y objetiva para hacer frente a sus deudas, sin que exista indicio de conducta culpable o negligente en la gestión de sus finanzas.
En consecuencia, la insolvencia actual deriva de causas externas y sobrevenidas, especialmente del desempleo prolongado y del aumento del coste de vida durante dicho periodo, y refleja de manera clara la imposibilidad de cumplimiento de las obligaciones financieras, conforme a lo previsto en la Ley Concursal.</t>
  </si>
  <si>
    <t>​​​☐​​SI ​​☐​​NO </t>
  </si>
  <si>
    <t>caixabank</t>
  </si>
  <si>
    <t>​​A-CONCLUSION DE CONCURSO POR INSUFICIENCIA DE MASA (art. 37 bis TRLC). </t>
  </si>
  <si>
    <r>
      <t>​B-</t>
    </r>
    <r>
      <rPr>
        <sz val="9"/>
        <rFont val="Arial"/>
        <family val="2"/>
      </rPr>
      <t>PROPUESTA DE CONVENIO  </t>
    </r>
  </si>
  <si>
    <t>​​C-LIQUIDACION </t>
  </si>
  <si>
    <t>D-​​EPI CON PLAN DE PAGOS </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</si>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</sst>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6" formatCode="#,##0\ &quot;€&quot;;[Red]\-#,##0\ &quot;€&quot;"/>
    <numFmt numFmtId="8" formatCode="#,##0.00\ &quot;€&quot;;[Red]\-#,##0.00\ &quot;€&quot;"/>
    <numFmt numFmtId="44" formatCode="_-* #,##0.00\ &quot;€&quot;_-;\-* #,##0.00\ &quot;€&quot;_-;_-* &quot;-&quot;??\ &quot;€&quot;_-;_-@_-"/>
    <numFmt numFmtId="164" formatCode="#,##0.00\ &quot;€&quot;"/>
    <numFmt numFmtId="165" formatCode="_-* #,##0.00\ [$€-C0A]_-;\-* #,##0.00\ [$€-C0A]_-;_-* &quot;-&quot;??\ [$€-C0A]_-;_-@_-"/>
  </numFmts>
  <fonts count="35">
    <font>
      <sz val="11"/>
      <color theme="1"/>
      <name val="Calibri"/>
      <charset val="134"/>
      <scheme val="minor"/>
    </font>
    <font>
      <sz val="11"/>
      <color theme="1"/>
      <name val="Calibri"/>
      <family val="2"/>
      <scheme val="minor"/>
    </font>
    <font>
      <sz val="11"/>
      <color theme="1"/>
      <name val="Calibri"/>
      <family val="2"/>
      <scheme val="minor"/>
    </font>
    <font>
      <b/>
      <i/>
      <u/>
      <sz val="11"/>
      <color theme="1"/>
      <name val="Calibri"/>
      <charset val="134"/>
      <scheme val="minor"/>
    </font>
    <font>
      <b/>
      <i/>
      <u/>
      <sz val="9"/>
      <color theme="1"/>
      <name val="Calibri"/>
      <charset val="134"/>
      <scheme val="minor"/>
    </font>
    <font>
      <b/>
      <sz val="11"/>
      <color theme="1"/>
      <name val="Calibri"/>
      <charset val="134"/>
      <scheme val="minor"/>
    </font>
    <font>
      <b/>
      <sz val="9"/>
      <color theme="1"/>
      <name val="Calibri"/>
      <charset val="134"/>
      <scheme val="minor"/>
    </font>
    <font>
      <sz val="9"/>
      <color theme="1"/>
      <name val="Calibri"/>
      <charset val="134"/>
      <scheme val="minor"/>
    </font>
    <font>
      <sz val="8"/>
      <color theme="1"/>
      <name val="Calibri"/>
      <charset val="134"/>
      <scheme val="minor"/>
    </font>
    <font>
      <sz val="11"/>
      <color rgb="FF9C0006"/>
      <name val="Calibri"/>
      <charset val="134"/>
      <scheme val="minor"/>
    </font>
    <font>
      <b/>
      <sz val="8"/>
      <color theme="1"/>
      <name val="Calibri"/>
      <charset val="134"/>
      <scheme val="minor"/>
    </font>
    <font>
      <b/>
      <sz val="14"/>
      <color theme="1"/>
      <name val="Calibri"/>
      <charset val="134"/>
      <scheme val="minor"/>
    </font>
    <font>
      <b/>
      <sz val="9"/>
      <name val="Calibri"/>
      <charset val="134"/>
      <scheme val="minor"/>
    </font>
    <font>
      <b/>
      <sz val="9"/>
      <color rgb="FF00B050"/>
      <name val="Calibri"/>
      <charset val="134"/>
      <scheme val="minor"/>
    </font>
    <font>
      <b/>
      <u/>
      <sz val="9"/>
      <color theme="1"/>
      <name val="Calibri"/>
      <charset val="134"/>
      <scheme val="minor"/>
    </font>
    <font>
      <b/>
      <sz val="8"/>
      <name val="Calibri"/>
      <charset val="134"/>
      <scheme val="minor"/>
    </font>
    <font>
      <b/>
      <sz val="9"/>
      <color rgb="FFFF0000"/>
      <name val="Calibri"/>
      <charset val="134"/>
      <scheme val="minor"/>
    </font>
    <font>
      <sz val="10"/>
      <color theme="1"/>
      <name val="Calibri"/>
      <charset val="134"/>
      <scheme val="minor"/>
    </font>
    <font>
      <u/>
      <sz val="12.65"/>
      <color theme="10"/>
      <name val="Calibri"/>
      <charset val="134"/>
    </font>
    <font>
      <b/>
      <u/>
      <sz val="11"/>
      <color theme="1"/>
      <name val="Calibri"/>
      <charset val="134"/>
      <scheme val="minor"/>
    </font>
    <font>
      <sz val="11"/>
      <color theme="1"/>
      <name val="Calibri"/>
      <charset val="134"/>
      <scheme val="minor"/>
    </font>
    <font>
      <sz val="8"/>
      <color theme="1"/>
      <name val="Calibri"/>
      <family val="2"/>
      <scheme val="minor"/>
    </font>
    <font>
      <sz val="9"/>
      <color theme="1"/>
      <name val="Calibri"/>
      <family val="2"/>
      <scheme val="minor"/>
    </font>
    <font>
      <u/>
      <sz val="12.65"/>
      <color theme="1"/>
      <name val="Calibri"/>
      <family val="2"/>
      <scheme val="minor"/>
    </font>
    <font>
      <b/>
      <sz val="9"/>
      <color theme="1"/>
      <name val="Calibri"/>
      <family val="2"/>
      <scheme val="minor"/>
    </font>
    <font>
      <sz val="11"/>
      <color rgb="FF000000"/>
      <name val="Calibri"/>
      <family val="2"/>
      <scheme val="minor"/>
    </font>
    <font>
      <sz val="9"/>
      <color theme="1"/>
      <name val="OpenSans-Regular"/>
      <charset val="1"/>
    </font>
    <font>
      <sz val="9"/>
      <color rgb="FF212529"/>
      <name val="OpenSans-Regular"/>
      <charset val="1"/>
    </font>
    <font>
      <b/>
      <sz val="11"/>
      <color theme="1"/>
      <name val="Calibri"/>
      <family val="2"/>
      <scheme val="minor"/>
    </font>
    <font>
      <b/>
      <sz val="13.5"/>
      <color theme="1"/>
      <name val="Calibri"/>
      <family val="2"/>
      <scheme val="minor"/>
    </font>
    <font>
      <sz val="10"/>
      <name val="Arial"/>
      <family val="2"/>
    </font>
    <font>
      <sz val="9"/>
      <name val="Arial"/>
      <family val="2"/>
    </font>
    <font>
      <b/>
      <sz val="10"/>
      <name val="Arial"/>
      <family val="2"/>
    </font>
    <font>
      <b/>
      <sz val="10"/>
      <name val="Segoe UI Symbol"/>
      <family val="2"/>
    </font>
    <font>
      <b/>
      <sz val="8"/>
      <name val="Calibri"/>
      <family val="2"/>
      <scheme val="minor"/>
    </font>
  </fonts>
  <fills count="23">
    <fill>
      <patternFill patternType="none"/>
    </fill>
    <fill>
      <patternFill patternType="gray125"/>
    </fill>
    <fill>
      <patternFill patternType="solid">
        <fgColor theme="0" tint="-4.9989318521683403E-2"/>
        <bgColor indexed="64"/>
      </patternFill>
    </fill>
    <fill>
      <patternFill patternType="solid">
        <fgColor theme="9" tint="0.39994506668294322"/>
        <bgColor indexed="64"/>
      </patternFill>
    </fill>
    <fill>
      <patternFill patternType="solid">
        <fgColor rgb="FFDCA4FE"/>
        <bgColor indexed="64"/>
      </patternFill>
    </fill>
    <fill>
      <patternFill patternType="solid">
        <fgColor theme="0" tint="-0.34998626667073579"/>
        <bgColor indexed="64"/>
      </patternFill>
    </fill>
    <fill>
      <patternFill patternType="solid">
        <fgColor rgb="FFFFC000"/>
        <bgColor indexed="64"/>
      </patternFill>
    </fill>
    <fill>
      <patternFill patternType="solid">
        <fgColor theme="0"/>
        <bgColor indexed="64"/>
      </patternFill>
    </fill>
    <fill>
      <patternFill patternType="solid">
        <fgColor rgb="FFFFC7CE"/>
        <bgColor indexed="64"/>
      </patternFill>
    </fill>
    <fill>
      <patternFill patternType="solid">
        <fgColor theme="5" tint="0.599993896298104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5" tint="0.39994506668294322"/>
        <bgColor indexed="64"/>
      </patternFill>
    </fill>
    <fill>
      <patternFill patternType="solid">
        <fgColor theme="9" tint="0.59999389629810485"/>
        <bgColor indexed="64"/>
      </patternFill>
    </fill>
    <fill>
      <patternFill patternType="solid">
        <fgColor theme="4" tint="-0.249977111117893"/>
        <bgColor indexed="64"/>
      </patternFill>
    </fill>
    <fill>
      <patternFill patternType="solid">
        <fgColor theme="5" tint="0.79995117038483843"/>
        <bgColor indexed="64"/>
      </patternFill>
    </fill>
    <fill>
      <patternFill patternType="solid">
        <fgColor rgb="FF3399FF"/>
        <bgColor indexed="64"/>
      </patternFill>
    </fill>
    <fill>
      <patternFill patternType="solid">
        <fgColor theme="8" tint="0.39994506668294322"/>
        <bgColor indexed="64"/>
      </patternFill>
    </fill>
    <fill>
      <patternFill patternType="solid">
        <fgColor theme="6" tint="0.79995117038483843"/>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rgb="FFFFFF00"/>
        <bgColor indexed="64"/>
      </patternFill>
    </fill>
    <fill>
      <patternFill patternType="solid">
        <fgColor rgb="FFE5E5E6"/>
        <bgColor indexed="64"/>
      </patternFill>
    </fill>
  </fills>
  <borders count="38">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top style="thin">
        <color auto="1"/>
      </top>
      <bottom style="thin">
        <color auto="1"/>
      </bottom>
      <diagonal/>
    </border>
    <border>
      <left style="medium">
        <color auto="1"/>
      </left>
      <right style="medium">
        <color auto="1"/>
      </right>
      <top style="medium">
        <color auto="1"/>
      </top>
      <bottom/>
      <diagonal/>
    </border>
    <border>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medium">
        <color auto="1"/>
      </right>
      <top style="medium">
        <color auto="1"/>
      </top>
      <bottom/>
      <diagonal/>
    </border>
    <border>
      <left/>
      <right/>
      <top/>
      <bottom style="double">
        <color auto="1"/>
      </bottom>
      <diagonal/>
    </border>
    <border>
      <left style="medium">
        <color auto="1"/>
      </left>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top style="medium">
        <color auto="1"/>
      </top>
      <bottom/>
      <diagonal/>
    </border>
    <border>
      <left/>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right/>
      <top/>
      <bottom style="thin">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s>
  <cellStyleXfs count="4">
    <xf numFmtId="0" fontId="0" fillId="0" borderId="0"/>
    <xf numFmtId="44" fontId="20" fillId="0" borderId="0" applyFont="0" applyFill="0" applyBorder="0" applyAlignment="0" applyProtection="0"/>
    <xf numFmtId="0" fontId="18" fillId="0" borderId="0" applyNumberFormat="0" applyFill="0" applyBorder="0" applyAlignment="0" applyProtection="0">
      <alignment vertical="top"/>
      <protection locked="0"/>
    </xf>
    <xf numFmtId="0" fontId="9" fillId="8" borderId="0" applyNumberFormat="0" applyBorder="0" applyAlignment="0" applyProtection="0"/>
  </cellStyleXfs>
  <cellXfs count="237">
    <xf numFmtId="0" fontId="0" fillId="0" borderId="0" xfId="0"/>
    <xf numFmtId="0" fontId="3" fillId="0" borderId="1" xfId="0" applyFont="1" applyBorder="1"/>
    <xf numFmtId="0" fontId="3" fillId="0" borderId="2" xfId="0" applyFont="1" applyBorder="1"/>
    <xf numFmtId="0" fontId="4" fillId="0" borderId="2" xfId="0" applyFont="1" applyBorder="1"/>
    <xf numFmtId="0" fontId="3" fillId="0" borderId="3" xfId="0" applyFont="1" applyBorder="1"/>
    <xf numFmtId="0" fontId="5" fillId="2" borderId="4" xfId="0" applyFont="1" applyFill="1" applyBorder="1"/>
    <xf numFmtId="0" fontId="5" fillId="2" borderId="5" xfId="0" applyFont="1" applyFill="1" applyBorder="1" applyAlignment="1">
      <alignment wrapText="1"/>
    </xf>
    <xf numFmtId="0" fontId="6" fillId="2" borderId="5" xfId="0" applyFont="1" applyFill="1" applyBorder="1" applyAlignment="1">
      <alignment wrapText="1"/>
    </xf>
    <xf numFmtId="0" fontId="6" fillId="2" borderId="6" xfId="0" applyFont="1" applyFill="1" applyBorder="1" applyAlignment="1">
      <alignment wrapText="1"/>
    </xf>
    <xf numFmtId="8" fontId="7" fillId="0" borderId="0" xfId="0" applyNumberFormat="1" applyFont="1"/>
    <xf numFmtId="44" fontId="7" fillId="0" borderId="0" xfId="1" applyFont="1"/>
    <xf numFmtId="9" fontId="0" fillId="0" borderId="0" xfId="0" applyNumberFormat="1"/>
    <xf numFmtId="44" fontId="0" fillId="0" borderId="7" xfId="1" applyFont="1" applyBorder="1"/>
    <xf numFmtId="44" fontId="0" fillId="0" borderId="0" xfId="1" applyFont="1" applyBorder="1"/>
    <xf numFmtId="0" fontId="7" fillId="0" borderId="0" xfId="0" applyFont="1"/>
    <xf numFmtId="0" fontId="7" fillId="0" borderId="8" xfId="0" applyFont="1" applyBorder="1"/>
    <xf numFmtId="0" fontId="5" fillId="3" borderId="4" xfId="0" applyFont="1" applyFill="1" applyBorder="1"/>
    <xf numFmtId="0" fontId="5" fillId="3" borderId="5" xfId="0" applyFont="1" applyFill="1" applyBorder="1" applyAlignment="1">
      <alignment wrapText="1"/>
    </xf>
    <xf numFmtId="0" fontId="6" fillId="3" borderId="5" xfId="0" applyFont="1" applyFill="1" applyBorder="1" applyAlignment="1">
      <alignment wrapText="1"/>
    </xf>
    <xf numFmtId="0" fontId="6" fillId="3" borderId="6" xfId="0" applyFont="1" applyFill="1" applyBorder="1" applyAlignment="1">
      <alignment wrapText="1"/>
    </xf>
    <xf numFmtId="44" fontId="7" fillId="0" borderId="0" xfId="0" applyNumberFormat="1" applyFont="1"/>
    <xf numFmtId="0" fontId="5" fillId="4" borderId="4" xfId="0" applyFont="1" applyFill="1" applyBorder="1"/>
    <xf numFmtId="0" fontId="5" fillId="4" borderId="5" xfId="0" applyFont="1" applyFill="1" applyBorder="1" applyAlignment="1">
      <alignment wrapText="1"/>
    </xf>
    <xf numFmtId="0" fontId="6" fillId="4" borderId="5" xfId="0" applyFont="1" applyFill="1" applyBorder="1" applyAlignment="1">
      <alignment wrapText="1"/>
    </xf>
    <xf numFmtId="0" fontId="6" fillId="4" borderId="6" xfId="0" applyFont="1" applyFill="1" applyBorder="1" applyAlignment="1">
      <alignment wrapText="1"/>
    </xf>
    <xf numFmtId="44" fontId="7" fillId="0" borderId="9" xfId="1" applyFont="1" applyBorder="1"/>
    <xf numFmtId="0" fontId="7" fillId="0" borderId="10" xfId="0" applyFont="1" applyBorder="1"/>
    <xf numFmtId="44" fontId="7" fillId="0" borderId="10" xfId="0" applyNumberFormat="1" applyFont="1" applyBorder="1"/>
    <xf numFmtId="0" fontId="7" fillId="0" borderId="11" xfId="0" applyFont="1" applyBorder="1"/>
    <xf numFmtId="0" fontId="0" fillId="2" borderId="1" xfId="0" applyFill="1" applyBorder="1"/>
    <xf numFmtId="0" fontId="0" fillId="2" borderId="2" xfId="0" applyFill="1" applyBorder="1"/>
    <xf numFmtId="0" fontId="5" fillId="2" borderId="2" xfId="0" applyFont="1" applyFill="1" applyBorder="1"/>
    <xf numFmtId="0" fontId="0" fillId="2" borderId="3" xfId="0" applyFill="1" applyBorder="1"/>
    <xf numFmtId="0" fontId="5" fillId="0" borderId="0" xfId="0" applyFont="1"/>
    <xf numFmtId="8" fontId="5" fillId="5" borderId="12" xfId="0" applyNumberFormat="1" applyFont="1" applyFill="1" applyBorder="1" applyAlignment="1">
      <alignment wrapText="1"/>
    </xf>
    <xf numFmtId="8" fontId="5" fillId="5" borderId="12" xfId="0" applyNumberFormat="1" applyFont="1" applyFill="1" applyBorder="1"/>
    <xf numFmtId="8" fontId="5" fillId="5" borderId="12" xfId="0" applyNumberFormat="1" applyFont="1" applyFill="1" applyBorder="1" applyAlignment="1">
      <alignment horizontal="center"/>
    </xf>
    <xf numFmtId="8" fontId="5" fillId="5" borderId="13" xfId="0" applyNumberFormat="1" applyFont="1" applyFill="1" applyBorder="1"/>
    <xf numFmtId="8" fontId="5" fillId="6" borderId="4" xfId="0" applyNumberFormat="1" applyFont="1" applyFill="1" applyBorder="1" applyAlignment="1">
      <alignment wrapText="1"/>
    </xf>
    <xf numFmtId="0" fontId="0" fillId="0" borderId="14" xfId="0" applyBorder="1"/>
    <xf numFmtId="0" fontId="8" fillId="0" borderId="12" xfId="0" applyFont="1" applyBorder="1" applyAlignment="1">
      <alignment horizontal="center" vertical="top" wrapText="1"/>
    </xf>
    <xf numFmtId="44" fontId="8" fillId="0" borderId="12" xfId="1" applyFont="1" applyBorder="1" applyAlignment="1">
      <alignment horizontal="center" vertical="top" wrapText="1"/>
    </xf>
    <xf numFmtId="2" fontId="8" fillId="7" borderId="12" xfId="0" applyNumberFormat="1" applyFont="1" applyFill="1" applyBorder="1" applyAlignment="1">
      <alignment horizontal="center" vertical="center" wrapText="1"/>
    </xf>
    <xf numFmtId="8" fontId="9" fillId="8" borderId="14" xfId="3" applyNumberFormat="1" applyBorder="1"/>
    <xf numFmtId="0" fontId="0" fillId="0" borderId="14" xfId="1" applyNumberFormat="1" applyFont="1" applyFill="1" applyBorder="1"/>
    <xf numFmtId="8" fontId="0" fillId="0" borderId="14" xfId="0" applyNumberFormat="1" applyBorder="1"/>
    <xf numFmtId="0" fontId="8" fillId="0" borderId="12" xfId="0" applyFont="1" applyBorder="1" applyAlignment="1">
      <alignment wrapText="1"/>
    </xf>
    <xf numFmtId="0" fontId="8" fillId="0" borderId="14" xfId="0" applyFont="1" applyBorder="1" applyAlignment="1">
      <alignment horizontal="center" vertical="top" wrapText="1"/>
    </xf>
    <xf numFmtId="44" fontId="8" fillId="0" borderId="14" xfId="1" applyFont="1" applyBorder="1" applyAlignment="1">
      <alignment horizontal="center" vertical="top" wrapText="1"/>
    </xf>
    <xf numFmtId="0" fontId="8" fillId="0" borderId="15" xfId="0" applyFont="1" applyBorder="1" applyAlignment="1">
      <alignment horizontal="center" vertical="top" wrapText="1"/>
    </xf>
    <xf numFmtId="44" fontId="8" fillId="0" borderId="15" xfId="1" applyFont="1" applyBorder="1" applyAlignment="1">
      <alignment horizontal="center" vertical="top" wrapText="1"/>
    </xf>
    <xf numFmtId="2" fontId="8" fillId="7" borderId="16" xfId="0" applyNumberFormat="1" applyFont="1" applyFill="1" applyBorder="1" applyAlignment="1">
      <alignment horizontal="center" vertical="center" wrapText="1"/>
    </xf>
    <xf numFmtId="8" fontId="0" fillId="0" borderId="15" xfId="0" applyNumberFormat="1" applyBorder="1"/>
    <xf numFmtId="0" fontId="10" fillId="0" borderId="4" xfId="0" applyFont="1" applyBorder="1" applyAlignment="1">
      <alignment horizontal="center" vertical="top" wrapText="1"/>
    </xf>
    <xf numFmtId="44" fontId="5" fillId="0" borderId="2" xfId="0" applyNumberFormat="1" applyFont="1" applyBorder="1"/>
    <xf numFmtId="2" fontId="5" fillId="0" borderId="3" xfId="0" applyNumberFormat="1" applyFont="1" applyBorder="1"/>
    <xf numFmtId="44" fontId="5" fillId="0" borderId="17" xfId="0" applyNumberFormat="1" applyFont="1" applyBorder="1"/>
    <xf numFmtId="8" fontId="5" fillId="0" borderId="17" xfId="0" applyNumberFormat="1" applyFont="1" applyBorder="1"/>
    <xf numFmtId="8" fontId="0" fillId="0" borderId="0" xfId="0" applyNumberFormat="1"/>
    <xf numFmtId="44" fontId="0" fillId="0" borderId="0" xfId="1" applyFont="1"/>
    <xf numFmtId="0" fontId="6" fillId="9" borderId="17" xfId="0" applyFont="1" applyFill="1" applyBorder="1" applyAlignment="1">
      <alignment wrapText="1"/>
    </xf>
    <xf numFmtId="0" fontId="7" fillId="0" borderId="18" xfId="0" applyFont="1" applyBorder="1"/>
    <xf numFmtId="0" fontId="6" fillId="9" borderId="4" xfId="0" applyFont="1" applyFill="1" applyBorder="1" applyAlignment="1">
      <alignment wrapText="1"/>
    </xf>
    <xf numFmtId="0" fontId="6" fillId="9" borderId="5" xfId="0" applyFont="1" applyFill="1" applyBorder="1" applyAlignment="1">
      <alignment wrapText="1"/>
    </xf>
    <xf numFmtId="0" fontId="6" fillId="0" borderId="12" xfId="0" applyFont="1" applyBorder="1" applyAlignment="1">
      <alignment wrapText="1"/>
    </xf>
    <xf numFmtId="44" fontId="7" fillId="10" borderId="14" xfId="1" applyFont="1" applyFill="1" applyBorder="1"/>
    <xf numFmtId="44" fontId="7" fillId="10" borderId="12" xfId="1" applyFont="1" applyFill="1" applyBorder="1"/>
    <xf numFmtId="8" fontId="11" fillId="5" borderId="12" xfId="0" applyNumberFormat="1" applyFont="1" applyFill="1" applyBorder="1" applyAlignment="1">
      <alignment wrapText="1"/>
    </xf>
    <xf numFmtId="8" fontId="11" fillId="5" borderId="12" xfId="0" applyNumberFormat="1" applyFont="1" applyFill="1" applyBorder="1"/>
    <xf numFmtId="8" fontId="11" fillId="5" borderId="12" xfId="0" applyNumberFormat="1" applyFont="1" applyFill="1" applyBorder="1" applyAlignment="1">
      <alignment horizontal="center"/>
    </xf>
    <xf numFmtId="44" fontId="0" fillId="0" borderId="14" xfId="1" applyFont="1" applyBorder="1"/>
    <xf numFmtId="0" fontId="0" fillId="0" borderId="14" xfId="0" applyBorder="1" applyAlignment="1">
      <alignment wrapText="1"/>
    </xf>
    <xf numFmtId="0" fontId="5" fillId="0" borderId="1" xfId="0" applyFont="1" applyBorder="1"/>
    <xf numFmtId="8" fontId="5" fillId="6" borderId="6" xfId="0" applyNumberFormat="1" applyFont="1" applyFill="1" applyBorder="1" applyAlignment="1">
      <alignment wrapText="1"/>
    </xf>
    <xf numFmtId="0" fontId="7" fillId="0" borderId="14" xfId="0" applyFont="1" applyBorder="1" applyAlignment="1">
      <alignment wrapText="1"/>
    </xf>
    <xf numFmtId="44" fontId="7" fillId="0" borderId="14" xfId="1" applyFont="1" applyBorder="1"/>
    <xf numFmtId="44" fontId="5" fillId="0" borderId="20" xfId="0" applyNumberFormat="1" applyFont="1" applyBorder="1"/>
    <xf numFmtId="0" fontId="0" fillId="0" borderId="0" xfId="0" applyAlignment="1">
      <alignment vertical="center"/>
    </xf>
    <xf numFmtId="164" fontId="12" fillId="9" borderId="17" xfId="0" applyNumberFormat="1" applyFont="1" applyFill="1" applyBorder="1" applyAlignment="1">
      <alignment horizontal="center" vertical="center"/>
    </xf>
    <xf numFmtId="164" fontId="12" fillId="9" borderId="6" xfId="0" applyNumberFormat="1" applyFont="1" applyFill="1" applyBorder="1" applyAlignment="1">
      <alignment horizontal="center" vertical="center"/>
    </xf>
    <xf numFmtId="164" fontId="12" fillId="9" borderId="6" xfId="0" applyNumberFormat="1" applyFont="1" applyFill="1" applyBorder="1" applyAlignment="1">
      <alignment horizontal="center" vertical="center" wrapText="1"/>
    </xf>
    <xf numFmtId="164" fontId="12" fillId="11" borderId="6" xfId="0" applyNumberFormat="1" applyFont="1" applyFill="1" applyBorder="1" applyAlignment="1">
      <alignment horizontal="center" vertical="center" wrapText="1"/>
    </xf>
    <xf numFmtId="164" fontId="12" fillId="9" borderId="19" xfId="0" applyNumberFormat="1" applyFont="1" applyFill="1" applyBorder="1" applyAlignment="1">
      <alignment horizontal="center" vertical="center" wrapText="1"/>
    </xf>
    <xf numFmtId="164" fontId="0" fillId="0" borderId="12" xfId="0" applyNumberFormat="1" applyBorder="1" applyAlignment="1">
      <alignment vertical="center" wrapText="1"/>
    </xf>
    <xf numFmtId="0" fontId="0" fillId="0" borderId="21" xfId="0" applyBorder="1" applyAlignment="1">
      <alignment horizontal="center" vertical="center"/>
    </xf>
    <xf numFmtId="0" fontId="0" fillId="0" borderId="12" xfId="0" applyBorder="1"/>
    <xf numFmtId="164" fontId="0" fillId="0" borderId="14" xfId="0" applyNumberFormat="1" applyBorder="1" applyAlignment="1">
      <alignment vertical="center" wrapText="1"/>
    </xf>
    <xf numFmtId="0" fontId="0" fillId="0" borderId="22" xfId="0" applyBorder="1" applyAlignment="1">
      <alignment horizontal="center" vertical="center"/>
    </xf>
    <xf numFmtId="164" fontId="0" fillId="0" borderId="15" xfId="0" applyNumberFormat="1" applyBorder="1" applyAlignment="1">
      <alignment vertical="center" wrapText="1"/>
    </xf>
    <xf numFmtId="44" fontId="6" fillId="0" borderId="1" xfId="1" applyFont="1" applyFill="1" applyBorder="1"/>
    <xf numFmtId="164" fontId="5" fillId="0" borderId="17" xfId="0" applyNumberFormat="1" applyFont="1" applyBorder="1"/>
    <xf numFmtId="6" fontId="0" fillId="0" borderId="0" xfId="0" applyNumberFormat="1"/>
    <xf numFmtId="0" fontId="13" fillId="7" borderId="1" xfId="0" applyFont="1" applyFill="1" applyBorder="1"/>
    <xf numFmtId="44" fontId="13" fillId="7" borderId="3" xfId="0" applyNumberFormat="1" applyFont="1" applyFill="1" applyBorder="1"/>
    <xf numFmtId="44" fontId="0" fillId="0" borderId="0" xfId="0" applyNumberFormat="1"/>
    <xf numFmtId="44" fontId="7" fillId="0" borderId="0" xfId="0" applyNumberFormat="1" applyFont="1" applyAlignment="1">
      <alignment wrapText="1"/>
    </xf>
    <xf numFmtId="0" fontId="0" fillId="0" borderId="0" xfId="0" applyAlignment="1">
      <alignment horizontal="center" vertical="center"/>
    </xf>
    <xf numFmtId="0" fontId="14" fillId="0" borderId="0" xfId="0" applyFont="1"/>
    <xf numFmtId="164" fontId="15" fillId="11" borderId="23" xfId="0" applyNumberFormat="1" applyFont="1" applyFill="1" applyBorder="1" applyAlignment="1">
      <alignment horizontal="center" vertical="center" wrapText="1"/>
    </xf>
    <xf numFmtId="44" fontId="8" fillId="0" borderId="14" xfId="0" applyNumberFormat="1" applyFont="1" applyBorder="1" applyAlignment="1">
      <alignment horizontal="center" vertical="center"/>
    </xf>
    <xf numFmtId="0" fontId="5" fillId="0" borderId="24" xfId="0" applyFont="1" applyBorder="1"/>
    <xf numFmtId="44" fontId="0" fillId="0" borderId="24" xfId="0" applyNumberFormat="1" applyBorder="1"/>
    <xf numFmtId="44" fontId="16" fillId="12" borderId="0" xfId="0" applyNumberFormat="1" applyFont="1" applyFill="1"/>
    <xf numFmtId="0" fontId="0" fillId="0" borderId="0" xfId="0" applyAlignment="1">
      <alignment wrapText="1"/>
    </xf>
    <xf numFmtId="0" fontId="17" fillId="0" borderId="0" xfId="0" applyFont="1"/>
    <xf numFmtId="0" fontId="5" fillId="0" borderId="0" xfId="0" applyFont="1" applyAlignment="1">
      <alignment wrapText="1"/>
    </xf>
    <xf numFmtId="44" fontId="13" fillId="0" borderId="0" xfId="0" applyNumberFormat="1" applyFont="1"/>
    <xf numFmtId="0" fontId="6" fillId="9" borderId="17" xfId="0" applyFont="1" applyFill="1" applyBorder="1"/>
    <xf numFmtId="0" fontId="6" fillId="9" borderId="4" xfId="0" applyFont="1" applyFill="1" applyBorder="1"/>
    <xf numFmtId="0" fontId="6" fillId="9" borderId="5" xfId="0" applyFont="1" applyFill="1" applyBorder="1"/>
    <xf numFmtId="0" fontId="6" fillId="0" borderId="12" xfId="0" applyFont="1" applyBorder="1"/>
    <xf numFmtId="44" fontId="7" fillId="13" borderId="12" xfId="1" applyFont="1" applyFill="1" applyBorder="1"/>
    <xf numFmtId="44" fontId="7" fillId="0" borderId="12" xfId="1" applyFont="1" applyBorder="1"/>
    <xf numFmtId="0" fontId="6" fillId="0" borderId="14" xfId="0" applyFont="1" applyBorder="1"/>
    <xf numFmtId="44" fontId="7" fillId="13" borderId="14" xfId="1" applyFont="1" applyFill="1" applyBorder="1"/>
    <xf numFmtId="0" fontId="6" fillId="14" borderId="14" xfId="0" applyFont="1" applyFill="1" applyBorder="1"/>
    <xf numFmtId="44" fontId="7" fillId="14" borderId="14" xfId="1" applyFont="1" applyFill="1" applyBorder="1"/>
    <xf numFmtId="44" fontId="6" fillId="13" borderId="14" xfId="1" applyFont="1" applyFill="1" applyBorder="1"/>
    <xf numFmtId="0" fontId="6" fillId="3" borderId="14" xfId="0" applyFont="1" applyFill="1" applyBorder="1"/>
    <xf numFmtId="44" fontId="7" fillId="3" borderId="14" xfId="1" applyFont="1" applyFill="1" applyBorder="1"/>
    <xf numFmtId="44" fontId="7" fillId="0" borderId="14" xfId="1" applyFont="1" applyFill="1" applyBorder="1"/>
    <xf numFmtId="44" fontId="7" fillId="7" borderId="14" xfId="1" applyFont="1" applyFill="1" applyBorder="1"/>
    <xf numFmtId="0" fontId="6" fillId="0" borderId="14" xfId="0" applyFont="1" applyBorder="1" applyAlignment="1">
      <alignment wrapText="1"/>
    </xf>
    <xf numFmtId="44" fontId="7" fillId="0" borderId="14" xfId="1" applyFont="1" applyFill="1" applyBorder="1" applyAlignment="1">
      <alignment wrapText="1"/>
    </xf>
    <xf numFmtId="0" fontId="6" fillId="15" borderId="1" xfId="0" applyFont="1" applyFill="1" applyBorder="1"/>
    <xf numFmtId="0" fontId="6" fillId="15" borderId="3" xfId="0" applyFont="1" applyFill="1" applyBorder="1"/>
    <xf numFmtId="164" fontId="15" fillId="9" borderId="23" xfId="0" applyNumberFormat="1" applyFont="1" applyFill="1" applyBorder="1" applyAlignment="1">
      <alignment horizontal="center" vertical="center" wrapText="1"/>
    </xf>
    <xf numFmtId="0" fontId="6" fillId="9" borderId="6" xfId="0" applyFont="1" applyFill="1" applyBorder="1"/>
    <xf numFmtId="44" fontId="6" fillId="0" borderId="14" xfId="1" applyFont="1" applyFill="1" applyBorder="1"/>
    <xf numFmtId="0" fontId="5" fillId="16" borderId="17" xfId="0" applyFont="1" applyFill="1" applyBorder="1"/>
    <xf numFmtId="0" fontId="0" fillId="16" borderId="25" xfId="0" applyFill="1" applyBorder="1"/>
    <xf numFmtId="0" fontId="0" fillId="16" borderId="7" xfId="0" applyFill="1" applyBorder="1"/>
    <xf numFmtId="0" fontId="5" fillId="16" borderId="7" xfId="0" applyFont="1" applyFill="1" applyBorder="1"/>
    <xf numFmtId="0" fontId="0" fillId="16" borderId="9" xfId="0" applyFill="1" applyBorder="1"/>
    <xf numFmtId="0" fontId="5" fillId="17" borderId="19" xfId="0" applyFont="1" applyFill="1" applyBorder="1"/>
    <xf numFmtId="0" fontId="0" fillId="18" borderId="19" xfId="0" applyFill="1" applyBorder="1"/>
    <xf numFmtId="0" fontId="7" fillId="0" borderId="12" xfId="0" applyFont="1" applyBorder="1" applyAlignment="1">
      <alignment wrapText="1"/>
    </xf>
    <xf numFmtId="0" fontId="7" fillId="0" borderId="13" xfId="0" applyFont="1" applyBorder="1" applyAlignment="1">
      <alignment wrapText="1"/>
    </xf>
    <xf numFmtId="0" fontId="0" fillId="18" borderId="26" xfId="0" applyFill="1" applyBorder="1"/>
    <xf numFmtId="0" fontId="19" fillId="18" borderId="26" xfId="0" applyFont="1" applyFill="1" applyBorder="1"/>
    <xf numFmtId="0" fontId="0" fillId="18" borderId="27" xfId="0" applyFill="1" applyBorder="1"/>
    <xf numFmtId="0" fontId="0" fillId="0" borderId="18" xfId="0" applyBorder="1"/>
    <xf numFmtId="0" fontId="0" fillId="13" borderId="19" xfId="0" applyFill="1" applyBorder="1"/>
    <xf numFmtId="0" fontId="7" fillId="0" borderId="22" xfId="0" applyFont="1" applyBorder="1" applyAlignment="1">
      <alignment wrapText="1"/>
    </xf>
    <xf numFmtId="0" fontId="19" fillId="13" borderId="26" xfId="0" applyFont="1" applyFill="1" applyBorder="1"/>
    <xf numFmtId="0" fontId="0" fillId="13" borderId="26" xfId="0" applyFill="1" applyBorder="1"/>
    <xf numFmtId="0" fontId="19" fillId="13" borderId="27" xfId="0" applyFont="1" applyFill="1" applyBorder="1"/>
    <xf numFmtId="0" fontId="5" fillId="19" borderId="25" xfId="0" applyFont="1" applyFill="1" applyBorder="1" applyAlignment="1">
      <alignment wrapText="1"/>
    </xf>
    <xf numFmtId="0" fontId="5" fillId="19" borderId="28" xfId="0" applyFont="1" applyFill="1" applyBorder="1"/>
    <xf numFmtId="0" fontId="5" fillId="19" borderId="2" xfId="0" applyFont="1" applyFill="1" applyBorder="1"/>
    <xf numFmtId="0" fontId="5" fillId="19" borderId="3" xfId="0" applyFont="1" applyFill="1" applyBorder="1"/>
    <xf numFmtId="0" fontId="5" fillId="20" borderId="14" xfId="0" applyFont="1" applyFill="1" applyBorder="1"/>
    <xf numFmtId="0" fontId="0" fillId="12" borderId="0" xfId="0" applyFill="1"/>
    <xf numFmtId="0" fontId="5" fillId="20" borderId="15" xfId="0" applyFont="1" applyFill="1" applyBorder="1" applyAlignment="1">
      <alignment wrapText="1"/>
    </xf>
    <xf numFmtId="0" fontId="0" fillId="0" borderId="18" xfId="0" applyBorder="1" applyAlignment="1">
      <alignment wrapText="1"/>
    </xf>
    <xf numFmtId="0" fontId="0" fillId="0" borderId="29" xfId="0" applyBorder="1" applyAlignment="1">
      <alignment wrapText="1"/>
    </xf>
    <xf numFmtId="0" fontId="0" fillId="0" borderId="22" xfId="0" applyBorder="1" applyAlignment="1">
      <alignment wrapText="1"/>
    </xf>
    <xf numFmtId="0" fontId="5" fillId="20" borderId="30" xfId="0" applyFont="1" applyFill="1" applyBorder="1"/>
    <xf numFmtId="0" fontId="0" fillId="0" borderId="30" xfId="0" applyBorder="1" applyAlignment="1">
      <alignment wrapText="1"/>
    </xf>
    <xf numFmtId="0" fontId="0" fillId="0" borderId="31" xfId="0" applyBorder="1" applyAlignment="1">
      <alignment wrapText="1"/>
    </xf>
    <xf numFmtId="0" fontId="0" fillId="0" borderId="32" xfId="0" applyBorder="1" applyAlignment="1">
      <alignment wrapText="1"/>
    </xf>
    <xf numFmtId="0" fontId="5" fillId="20" borderId="33" xfId="0" applyFont="1" applyFill="1" applyBorder="1"/>
    <xf numFmtId="0" fontId="0" fillId="0" borderId="33" xfId="0" applyBorder="1" applyAlignment="1">
      <alignment wrapText="1"/>
    </xf>
    <xf numFmtId="0" fontId="0" fillId="0" borderId="34" xfId="0" applyBorder="1" applyAlignment="1">
      <alignment wrapText="1"/>
    </xf>
    <xf numFmtId="0" fontId="5" fillId="20" borderId="13" xfId="0" applyFont="1" applyFill="1" applyBorder="1"/>
    <xf numFmtId="0" fontId="0" fillId="0" borderId="13" xfId="0" applyBorder="1" applyAlignment="1">
      <alignment wrapText="1"/>
    </xf>
    <xf numFmtId="0" fontId="0" fillId="0" borderId="35" xfId="0" applyBorder="1" applyAlignment="1">
      <alignment wrapText="1"/>
    </xf>
    <xf numFmtId="0" fontId="0" fillId="0" borderId="21" xfId="0" applyBorder="1" applyAlignment="1">
      <alignment wrapText="1"/>
    </xf>
    <xf numFmtId="0" fontId="5" fillId="20" borderId="12" xfId="0" applyFont="1" applyFill="1" applyBorder="1" applyAlignment="1">
      <alignment wrapText="1"/>
    </xf>
    <xf numFmtId="0" fontId="0" fillId="0" borderId="35" xfId="0" applyBorder="1"/>
    <xf numFmtId="0" fontId="0" fillId="21" borderId="0" xfId="0" applyFill="1"/>
    <xf numFmtId="0" fontId="5" fillId="0" borderId="17" xfId="0" applyFont="1" applyBorder="1" applyAlignment="1">
      <alignment wrapText="1"/>
    </xf>
    <xf numFmtId="0" fontId="2" fillId="0" borderId="14" xfId="0" applyFont="1" applyBorder="1"/>
    <xf numFmtId="0" fontId="2" fillId="0" borderId="0" xfId="0" applyFont="1"/>
    <xf numFmtId="0" fontId="22" fillId="0" borderId="21" xfId="0" applyFont="1" applyBorder="1"/>
    <xf numFmtId="0" fontId="22" fillId="0" borderId="12" xfId="0" applyFont="1" applyBorder="1" applyAlignment="1">
      <alignment wrapText="1"/>
    </xf>
    <xf numFmtId="0" fontId="22" fillId="0" borderId="22" xfId="0" applyFont="1" applyBorder="1" applyAlignment="1">
      <alignment wrapText="1"/>
    </xf>
    <xf numFmtId="0" fontId="22" fillId="0" borderId="14" xfId="0" applyFont="1" applyBorder="1"/>
    <xf numFmtId="0" fontId="23" fillId="0" borderId="14" xfId="2" applyFont="1" applyBorder="1" applyAlignment="1" applyProtection="1"/>
    <xf numFmtId="0" fontId="23" fillId="0" borderId="14" xfId="2" applyFont="1" applyBorder="1" applyAlignment="1" applyProtection="1">
      <alignment wrapText="1"/>
    </xf>
    <xf numFmtId="0" fontId="24" fillId="9" borderId="1" xfId="0" applyFont="1" applyFill="1" applyBorder="1"/>
    <xf numFmtId="0" fontId="25" fillId="0" borderId="14" xfId="0" applyFont="1" applyBorder="1"/>
    <xf numFmtId="0" fontId="22" fillId="0" borderId="12" xfId="0" applyFont="1" applyBorder="1"/>
    <xf numFmtId="0" fontId="2" fillId="0" borderId="12" xfId="0" applyFont="1" applyBorder="1" applyAlignment="1">
      <alignment vertical="center" wrapText="1"/>
    </xf>
    <xf numFmtId="0" fontId="2" fillId="0" borderId="14" xfId="0" applyFont="1" applyBorder="1" applyAlignment="1">
      <alignment vertical="center" wrapText="1"/>
    </xf>
    <xf numFmtId="0" fontId="2" fillId="0" borderId="15" xfId="0" applyFont="1" applyBorder="1" applyAlignment="1">
      <alignment vertical="center" wrapText="1"/>
    </xf>
    <xf numFmtId="14" fontId="7" fillId="0" borderId="14" xfId="0" applyNumberFormat="1" applyFont="1" applyBorder="1"/>
    <xf numFmtId="0" fontId="8" fillId="0" borderId="14" xfId="0" applyFont="1" applyBorder="1" applyAlignment="1">
      <alignment horizontal="left" vertical="center" wrapText="1"/>
    </xf>
    <xf numFmtId="0" fontId="0" fillId="0" borderId="0" xfId="0" applyAlignment="1">
      <alignment horizontal="left" vertical="center" indent="1"/>
    </xf>
    <xf numFmtId="0" fontId="0" fillId="0" borderId="14" xfId="0" applyBorder="1" applyAlignment="1">
      <alignment horizontal="left" vertical="center" indent="1"/>
    </xf>
    <xf numFmtId="0" fontId="29" fillId="0" borderId="0" xfId="0" applyFont="1" applyAlignment="1">
      <alignment vertical="center"/>
    </xf>
    <xf numFmtId="0" fontId="1" fillId="0" borderId="0" xfId="0" applyFont="1" applyAlignment="1">
      <alignment horizontal="left" vertical="center" indent="1"/>
    </xf>
    <xf numFmtId="0" fontId="1" fillId="0" borderId="0" xfId="0" applyFont="1"/>
    <xf numFmtId="0" fontId="32" fillId="0" borderId="0" xfId="0" applyFont="1" applyAlignment="1">
      <alignment horizontal="left" vertical="center" wrapText="1"/>
    </xf>
    <xf numFmtId="0" fontId="30" fillId="0" borderId="0" xfId="0" applyFont="1" applyAlignment="1">
      <alignment horizontal="left" vertical="center" wrapText="1" indent="2"/>
    </xf>
    <xf numFmtId="0" fontId="33" fillId="0" borderId="0" xfId="0" applyFont="1" applyAlignment="1">
      <alignment horizontal="left" vertical="center" wrapText="1" indent="3"/>
    </xf>
    <xf numFmtId="0" fontId="28" fillId="0" borderId="0" xfId="0" applyFont="1"/>
    <xf numFmtId="0" fontId="15" fillId="9" borderId="36" xfId="0" applyFont="1" applyFill="1" applyBorder="1" applyAlignment="1">
      <alignment horizontal="center" vertical="center"/>
    </xf>
    <xf numFmtId="164" fontId="15" fillId="9" borderId="37" xfId="0" applyNumberFormat="1" applyFont="1" applyFill="1" applyBorder="1" applyAlignment="1">
      <alignment horizontal="center" vertical="center" wrapText="1"/>
    </xf>
    <xf numFmtId="164" fontId="15" fillId="9" borderId="37" xfId="0" applyNumberFormat="1" applyFont="1" applyFill="1" applyBorder="1" applyAlignment="1">
      <alignment horizontal="center" vertical="center"/>
    </xf>
    <xf numFmtId="164" fontId="15" fillId="11" borderId="37" xfId="0" applyNumberFormat="1" applyFont="1" applyFill="1" applyBorder="1" applyAlignment="1">
      <alignment horizontal="center" vertical="center"/>
    </xf>
    <xf numFmtId="0" fontId="10" fillId="0" borderId="27" xfId="0" applyFont="1" applyBorder="1" applyAlignment="1">
      <alignment horizontal="center" vertical="center"/>
    </xf>
    <xf numFmtId="44" fontId="10" fillId="0" borderId="27" xfId="0" applyNumberFormat="1" applyFont="1" applyBorder="1"/>
    <xf numFmtId="2" fontId="10" fillId="0" borderId="27" xfId="0" applyNumberFormat="1" applyFont="1" applyBorder="1"/>
    <xf numFmtId="0" fontId="21" fillId="0" borderId="14" xfId="0" applyFont="1" applyBorder="1" applyAlignment="1">
      <alignment horizontal="left" vertical="top" wrapText="1"/>
    </xf>
    <xf numFmtId="0" fontId="8" fillId="7" borderId="14" xfId="0" applyFont="1" applyFill="1" applyBorder="1" applyAlignment="1">
      <alignment horizontal="center" vertical="center" wrapText="1"/>
    </xf>
    <xf numFmtId="0" fontId="21" fillId="0" borderId="14" xfId="0" applyFont="1" applyBorder="1" applyAlignment="1">
      <alignment horizontal="center" vertical="top" wrapText="1"/>
    </xf>
    <xf numFmtId="2" fontId="8" fillId="7" borderId="14" xfId="0" applyNumberFormat="1" applyFont="1" applyFill="1" applyBorder="1" applyAlignment="1">
      <alignment horizontal="center" vertical="center" wrapText="1"/>
    </xf>
    <xf numFmtId="0" fontId="21" fillId="0" borderId="14" xfId="0" applyFont="1" applyBorder="1" applyAlignment="1">
      <alignment horizontal="left" vertical="center" wrapText="1"/>
    </xf>
    <xf numFmtId="14" fontId="26" fillId="0" borderId="14" xfId="0" applyNumberFormat="1" applyFont="1" applyBorder="1"/>
    <xf numFmtId="0" fontId="27" fillId="22" borderId="14" xfId="0" applyFont="1" applyFill="1" applyBorder="1" applyAlignment="1">
      <alignment wrapText="1"/>
    </xf>
    <xf numFmtId="0" fontId="0" fillId="0" borderId="14" xfId="0" applyBorder="1" applyAlignment="1">
      <alignment horizontal="left" wrapText="1"/>
    </xf>
    <xf numFmtId="2" fontId="8" fillId="0" borderId="14" xfId="0" applyNumberFormat="1" applyFont="1" applyBorder="1" applyAlignment="1">
      <alignment horizontal="center" vertical="center" wrapText="1"/>
    </xf>
    <xf numFmtId="44" fontId="8" fillId="0" borderId="14" xfId="1" applyFont="1" applyFill="1" applyBorder="1" applyAlignment="1">
      <alignment horizontal="center" vertical="top" wrapText="1"/>
    </xf>
    <xf numFmtId="14" fontId="0" fillId="0" borderId="14" xfId="0" applyNumberFormat="1" applyBorder="1"/>
    <xf numFmtId="0" fontId="34" fillId="9" borderId="37" xfId="0" applyFont="1" applyFill="1" applyBorder="1" applyAlignment="1">
      <alignment horizontal="center" vertical="center"/>
    </xf>
    <xf numFmtId="164" fontId="34" fillId="9" borderId="23" xfId="0" applyNumberFormat="1" applyFont="1" applyFill="1" applyBorder="1" applyAlignment="1">
      <alignment horizontal="center" vertical="center" wrapText="1"/>
    </xf>
    <xf numFmtId="44" fontId="21" fillId="0" borderId="14" xfId="1" applyFont="1" applyFill="1" applyBorder="1" applyAlignment="1">
      <alignment horizontal="center" vertical="top" wrapText="1"/>
    </xf>
    <xf numFmtId="0" fontId="24" fillId="0" borderId="17" xfId="0" applyFont="1" applyBorder="1"/>
    <xf numFmtId="0" fontId="1" fillId="0" borderId="14" xfId="0" applyFont="1" applyBorder="1" applyAlignment="1">
      <alignment vertical="center" wrapText="1"/>
    </xf>
    <xf numFmtId="0" fontId="1" fillId="0" borderId="12" xfId="0" applyFont="1" applyBorder="1" applyAlignment="1">
      <alignment vertical="center" wrapText="1"/>
    </xf>
    <xf numFmtId="165" fontId="1" fillId="0" borderId="12" xfId="0" applyNumberFormat="1" applyFont="1" applyBorder="1" applyAlignment="1">
      <alignment vertical="center" wrapText="1"/>
    </xf>
    <xf numFmtId="165" fontId="1" fillId="0" borderId="14" xfId="0" applyNumberFormat="1" applyFont="1" applyBorder="1" applyAlignment="1">
      <alignment vertical="center" wrapText="1"/>
    </xf>
    <xf numFmtId="44" fontId="1" fillId="0" borderId="12" xfId="1" applyFont="1" applyBorder="1" applyAlignment="1">
      <alignment vertical="center" wrapText="1"/>
    </xf>
    <xf numFmtId="44" fontId="1" fillId="0" borderId="14" xfId="1" applyFont="1" applyBorder="1" applyAlignment="1">
      <alignment vertical="center" wrapText="1"/>
    </xf>
    <xf numFmtId="165" fontId="1" fillId="0" borderId="15" xfId="0" applyNumberFormat="1" applyFont="1" applyBorder="1" applyAlignment="1">
      <alignment vertical="center" wrapText="1"/>
    </xf>
    <xf numFmtId="165" fontId="28" fillId="0" borderId="17" xfId="0" applyNumberFormat="1" applyFont="1" applyBorder="1"/>
    <xf numFmtId="0" fontId="28" fillId="0" borderId="17" xfId="0" applyFont="1" applyBorder="1"/>
    <xf numFmtId="0" fontId="28" fillId="0" borderId="20" xfId="0" applyFont="1" applyBorder="1"/>
    <xf numFmtId="44" fontId="28" fillId="0" borderId="17" xfId="0" applyNumberFormat="1" applyFont="1" applyBorder="1"/>
    <xf numFmtId="0" fontId="28" fillId="9" borderId="4" xfId="0" applyFont="1" applyFill="1" applyBorder="1" applyAlignment="1">
      <alignment horizontal="center" vertical="center" wrapText="1"/>
    </xf>
    <xf numFmtId="0" fontId="28" fillId="9" borderId="5" xfId="0" applyFont="1" applyFill="1" applyBorder="1" applyAlignment="1">
      <alignment horizontal="center" vertical="center" wrapText="1"/>
    </xf>
    <xf numFmtId="0" fontId="28" fillId="9" borderId="6" xfId="0" applyFont="1" applyFill="1" applyBorder="1" applyAlignment="1">
      <alignment horizontal="center" vertical="center" wrapText="1"/>
    </xf>
    <xf numFmtId="0" fontId="28" fillId="9" borderId="23" xfId="0" applyFont="1" applyFill="1" applyBorder="1" applyAlignment="1">
      <alignment horizontal="center" vertical="center" wrapText="1"/>
    </xf>
    <xf numFmtId="165" fontId="0" fillId="0" borderId="14" xfId="0" applyNumberFormat="1" applyBorder="1"/>
    <xf numFmtId="0" fontId="0" fillId="0" borderId="0" xfId="0" applyAlignment="1"/>
    <xf numFmtId="165" fontId="0" fillId="0" borderId="0" xfId="0" applyNumberFormat="1"/>
  </cellXfs>
  <cellStyles count="4">
    <cellStyle name="Hipervínculo" xfId="2" builtinId="8"/>
    <cellStyle name="Incorrecto" xfId="3" builtinId="27"/>
    <cellStyle name="Moneda"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G40"/>
  <sheetViews>
    <sheetView zoomScale="115" zoomScaleNormal="115" workbookViewId="0">
      <selection activeCell="C3" sqref="C3"/>
    </sheetView>
  </sheetViews>
  <sheetFormatPr baseColWidth="10" defaultColWidth="11" defaultRowHeight="15"/>
  <cols>
    <col min="1" max="1" width="22.42578125" customWidth="1"/>
    <col min="2" max="2" width="30.42578125" customWidth="1"/>
    <col min="3" max="3" width="43" bestFit="1" customWidth="1"/>
    <col min="4" max="4" width="21" customWidth="1"/>
    <col min="5" max="5" width="35.140625" customWidth="1"/>
    <col min="6" max="6" width="21.5703125" customWidth="1"/>
    <col min="7" max="7" width="14.42578125" customWidth="1"/>
  </cols>
  <sheetData>
    <row r="2" spans="1:5">
      <c r="B2" s="129" t="s">
        <v>0</v>
      </c>
    </row>
    <row r="3" spans="1:5">
      <c r="A3" s="130"/>
      <c r="B3" s="85" t="s">
        <v>1</v>
      </c>
      <c r="C3" s="181" t="s">
        <v>2</v>
      </c>
      <c r="D3" s="39"/>
      <c r="E3" s="39"/>
    </row>
    <row r="4" spans="1:5">
      <c r="A4" s="131"/>
      <c r="B4" s="172" t="s">
        <v>3</v>
      </c>
      <c r="C4" s="172" t="s">
        <v>4</v>
      </c>
      <c r="D4" s="39"/>
      <c r="E4" s="39"/>
    </row>
    <row r="5" spans="1:5">
      <c r="A5" s="132" t="s">
        <v>5</v>
      </c>
      <c r="B5" s="172" t="s">
        <v>6</v>
      </c>
      <c r="C5" s="172" t="s">
        <v>7</v>
      </c>
      <c r="D5" s="39"/>
      <c r="E5" s="39"/>
    </row>
    <row r="6" spans="1:5">
      <c r="A6" s="131"/>
      <c r="B6" s="172" t="s">
        <v>8</v>
      </c>
      <c r="C6" s="172">
        <v>624955267</v>
      </c>
      <c r="D6" s="39"/>
      <c r="E6" s="39"/>
    </row>
    <row r="7" spans="1:5" ht="17.25">
      <c r="A7" s="131"/>
      <c r="B7" s="172" t="s">
        <v>9</v>
      </c>
      <c r="C7" s="178" t="s">
        <v>10</v>
      </c>
      <c r="D7" s="39"/>
      <c r="E7" s="39"/>
    </row>
    <row r="8" spans="1:5" ht="34.5">
      <c r="A8" s="133"/>
      <c r="B8" s="172" t="s">
        <v>11</v>
      </c>
      <c r="C8" s="179" t="s">
        <v>12</v>
      </c>
      <c r="D8" s="39"/>
      <c r="E8" s="39"/>
    </row>
    <row r="9" spans="1:5">
      <c r="B9" s="173"/>
      <c r="C9" s="173"/>
    </row>
    <row r="10" spans="1:5">
      <c r="B10" s="180" t="s">
        <v>13</v>
      </c>
      <c r="C10" s="172"/>
      <c r="D10" s="39"/>
      <c r="E10" s="134" t="s">
        <v>14</v>
      </c>
    </row>
    <row r="11" spans="1:5">
      <c r="A11" s="135"/>
      <c r="B11" s="174" t="s">
        <v>15</v>
      </c>
      <c r="C11" s="175" t="s">
        <v>16</v>
      </c>
      <c r="D11" s="137"/>
      <c r="E11" s="74"/>
    </row>
    <row r="12" spans="1:5">
      <c r="A12" s="138"/>
      <c r="B12" s="176" t="s">
        <v>17</v>
      </c>
      <c r="C12" s="175" t="s">
        <v>18</v>
      </c>
      <c r="D12" s="137"/>
      <c r="E12" s="74"/>
    </row>
    <row r="13" spans="1:5" ht="24.75">
      <c r="A13" s="139" t="s">
        <v>19</v>
      </c>
      <c r="B13" s="176" t="s">
        <v>20</v>
      </c>
      <c r="C13" s="175" t="s">
        <v>21</v>
      </c>
      <c r="D13" s="136"/>
      <c r="E13" s="74"/>
    </row>
    <row r="14" spans="1:5">
      <c r="A14" s="138"/>
      <c r="B14" s="176" t="s">
        <v>22</v>
      </c>
      <c r="C14" s="177" t="s">
        <v>23</v>
      </c>
      <c r="D14" s="61"/>
      <c r="E14" s="74"/>
    </row>
    <row r="15" spans="1:5">
      <c r="A15" s="140"/>
      <c r="B15" s="176" t="s">
        <v>24</v>
      </c>
      <c r="C15" s="177" t="s">
        <v>25</v>
      </c>
      <c r="D15" s="141"/>
      <c r="E15" s="74"/>
    </row>
    <row r="16" spans="1:5" ht="24.75">
      <c r="A16" s="142"/>
      <c r="B16" s="176" t="s">
        <v>26</v>
      </c>
      <c r="C16" s="172" t="s">
        <v>25</v>
      </c>
      <c r="D16" s="39"/>
      <c r="E16" s="74"/>
    </row>
    <row r="17" spans="1:7" ht="48.75">
      <c r="A17" s="144" t="s">
        <v>27</v>
      </c>
      <c r="B17" s="176" t="s">
        <v>28</v>
      </c>
      <c r="C17" s="172" t="s">
        <v>25</v>
      </c>
      <c r="D17" s="39"/>
      <c r="E17" s="74"/>
    </row>
    <row r="18" spans="1:7" ht="72.75">
      <c r="A18" s="144"/>
      <c r="B18" s="176" t="s">
        <v>29</v>
      </c>
      <c r="C18" s="172" t="s">
        <v>25</v>
      </c>
      <c r="D18" s="141"/>
      <c r="E18" s="74"/>
    </row>
    <row r="19" spans="1:7">
      <c r="A19" s="145"/>
      <c r="B19" s="176" t="s">
        <v>30</v>
      </c>
      <c r="C19" s="172">
        <v>2</v>
      </c>
      <c r="D19" s="141"/>
      <c r="E19" s="74"/>
    </row>
    <row r="20" spans="1:7">
      <c r="A20" s="145"/>
      <c r="B20" s="143" t="s">
        <v>31</v>
      </c>
      <c r="C20" s="39" t="s">
        <v>32</v>
      </c>
      <c r="D20" s="141"/>
      <c r="E20" s="74"/>
    </row>
    <row r="21" spans="1:7" ht="48.75">
      <c r="A21" s="145"/>
      <c r="B21" s="143" t="s">
        <v>33</v>
      </c>
      <c r="C21" s="74" t="s">
        <v>25</v>
      </c>
      <c r="D21" s="74"/>
      <c r="E21" s="74"/>
    </row>
    <row r="22" spans="1:7" ht="24.75">
      <c r="A22" s="146" t="s">
        <v>34</v>
      </c>
      <c r="B22" s="143" t="s">
        <v>35</v>
      </c>
      <c r="C22" s="39" t="s">
        <v>25</v>
      </c>
      <c r="D22" s="39"/>
      <c r="E22" s="74"/>
    </row>
    <row r="24" spans="1:7" ht="30">
      <c r="A24" s="147" t="s">
        <v>36</v>
      </c>
      <c r="B24" s="148"/>
      <c r="C24" s="149"/>
      <c r="D24" s="149"/>
      <c r="E24" s="150"/>
    </row>
    <row r="25" spans="1:7" ht="45">
      <c r="A25" s="151" t="s">
        <v>37</v>
      </c>
      <c r="B25" s="71" t="s">
        <v>38</v>
      </c>
      <c r="C25" s="152" t="s">
        <v>39</v>
      </c>
    </row>
    <row r="26" spans="1:7" ht="30">
      <c r="A26" s="151" t="s">
        <v>40</v>
      </c>
      <c r="B26" s="71" t="s">
        <v>41</v>
      </c>
    </row>
    <row r="27" spans="1:7" ht="120">
      <c r="A27" s="153" t="s">
        <v>42</v>
      </c>
      <c r="B27" s="154" t="s">
        <v>43</v>
      </c>
      <c r="C27" s="155" t="s">
        <v>44</v>
      </c>
      <c r="D27" s="156" t="s">
        <v>45</v>
      </c>
    </row>
    <row r="28" spans="1:7" ht="60">
      <c r="A28" s="157" t="s">
        <v>46</v>
      </c>
      <c r="B28" s="158" t="s">
        <v>47</v>
      </c>
      <c r="C28" s="159" t="s">
        <v>48</v>
      </c>
      <c r="D28" s="160" t="s">
        <v>49</v>
      </c>
    </row>
    <row r="29" spans="1:7" ht="30">
      <c r="A29" s="161"/>
      <c r="B29" s="162" t="s">
        <v>50</v>
      </c>
      <c r="C29" t="s">
        <v>51</v>
      </c>
      <c r="D29" s="163" t="s">
        <v>52</v>
      </c>
    </row>
    <row r="30" spans="1:7" ht="60">
      <c r="A30" s="164"/>
      <c r="B30" s="165" t="s">
        <v>53</v>
      </c>
      <c r="C30" s="166" t="s">
        <v>54</v>
      </c>
      <c r="D30" s="167" t="s">
        <v>55</v>
      </c>
    </row>
    <row r="31" spans="1:7" ht="105">
      <c r="A31" s="168" t="s">
        <v>56</v>
      </c>
      <c r="B31" s="165" t="s">
        <v>57</v>
      </c>
      <c r="C31" s="169" t="s">
        <v>58</v>
      </c>
      <c r="D31" s="166" t="s">
        <v>59</v>
      </c>
      <c r="E31" s="155" t="s">
        <v>60</v>
      </c>
      <c r="F31" s="155" t="s">
        <v>61</v>
      </c>
      <c r="G31" s="156" t="s">
        <v>62</v>
      </c>
    </row>
    <row r="35" spans="1:6">
      <c r="A35" s="170" t="s">
        <v>63</v>
      </c>
    </row>
    <row r="37" spans="1:6" ht="75">
      <c r="A37" s="72" t="s">
        <v>64</v>
      </c>
      <c r="B37" s="71" t="s">
        <v>65</v>
      </c>
      <c r="C37" s="71" t="s">
        <v>66</v>
      </c>
      <c r="D37" s="71" t="s">
        <v>67</v>
      </c>
      <c r="E37" s="71" t="s">
        <v>68</v>
      </c>
      <c r="F37" s="71" t="s">
        <v>69</v>
      </c>
    </row>
    <row r="40" spans="1:6" ht="75">
      <c r="A40" s="171" t="s">
        <v>70</v>
      </c>
      <c r="B40" s="156" t="s">
        <v>71</v>
      </c>
      <c r="C40" s="71" t="s">
        <v>72</v>
      </c>
      <c r="D40" s="71" t="s">
        <v>73</v>
      </c>
      <c r="E40" s="71" t="s">
        <v>74</v>
      </c>
      <c r="F40" s="71" t="s">
        <v>75</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72B46-FC0D-4C71-B9D7-19E4918C72EA}">
  <dimension ref="A4:C92"/>
  <sheetViews>
    <sheetView tabSelected="1" topLeftCell="A57" workbookViewId="0">
      <selection activeCell="C78" sqref="C78"/>
    </sheetView>
  </sheetViews>
  <sheetFormatPr baseColWidth="10" defaultRowHeight="15"/>
  <cols>
    <col min="1" max="1" width="68.85546875" bestFit="1" customWidth="1"/>
    <col min="2" max="2" width="42.28515625" customWidth="1"/>
    <col min="3" max="3" width="23.7109375" customWidth="1"/>
  </cols>
  <sheetData>
    <row r="4" spans="1:3" ht="18">
      <c r="A4" s="190" t="s">
        <v>169</v>
      </c>
    </row>
    <row r="5" spans="1:3">
      <c r="A5" s="188"/>
    </row>
    <row r="6" spans="1:3">
      <c r="A6" s="189" t="s">
        <v>158</v>
      </c>
      <c r="B6" s="39" t="s">
        <v>164</v>
      </c>
    </row>
    <row r="7" spans="1:3">
      <c r="A7" s="189"/>
      <c r="B7" s="39"/>
    </row>
    <row r="8" spans="1:3">
      <c r="A8" s="189" t="s">
        <v>159</v>
      </c>
      <c r="B8" s="39" t="s">
        <v>165</v>
      </c>
    </row>
    <row r="9" spans="1:3">
      <c r="A9" s="189"/>
      <c r="B9" s="39"/>
    </row>
    <row r="10" spans="1:3">
      <c r="A10" s="189" t="s">
        <v>162</v>
      </c>
      <c r="B10" s="39" t="s">
        <v>163</v>
      </c>
    </row>
    <row r="11" spans="1:3">
      <c r="A11" s="189"/>
      <c r="B11" s="39"/>
    </row>
    <row r="12" spans="1:3">
      <c r="A12" s="189"/>
      <c r="B12" s="39"/>
    </row>
    <row r="13" spans="1:3">
      <c r="A13" s="189" t="s">
        <v>160</v>
      </c>
      <c r="B13" s="39" t="s">
        <v>166</v>
      </c>
    </row>
    <row r="14" spans="1:3">
      <c r="A14" s="189"/>
      <c r="B14" s="39"/>
    </row>
    <row r="15" spans="1:3" ht="75">
      <c r="A15" s="189" t="s">
        <v>161</v>
      </c>
      <c r="B15" s="71" t="s">
        <v>167</v>
      </c>
      <c r="C15" s="103" t="s">
        <v>168</v>
      </c>
    </row>
    <row r="20" spans="1:2" ht="18">
      <c r="A20" s="190" t="s">
        <v>174</v>
      </c>
    </row>
    <row r="21" spans="1:2">
      <c r="A21" s="188"/>
    </row>
    <row r="22" spans="1:2">
      <c r="A22" s="188" t="s">
        <v>175</v>
      </c>
      <c r="B22" s="192" t="s">
        <v>214</v>
      </c>
    </row>
    <row r="23" spans="1:2">
      <c r="A23" s="188"/>
    </row>
    <row r="24" spans="1:2">
      <c r="A24" s="188" t="s">
        <v>176</v>
      </c>
      <c r="B24" s="192" t="s">
        <v>215</v>
      </c>
    </row>
    <row r="25" spans="1:2">
      <c r="A25" s="188"/>
    </row>
    <row r="26" spans="1:2">
      <c r="A26" s="188" t="s">
        <v>177</v>
      </c>
      <c r="B26" s="192" t="s">
        <v>216</v>
      </c>
    </row>
    <row r="27" spans="1:2">
      <c r="A27" s="188"/>
    </row>
    <row r="28" spans="1:2">
      <c r="A28" s="188" t="s">
        <v>178</v>
      </c>
      <c r="B28" s="192" t="s">
        <v>217</v>
      </c>
    </row>
    <row r="29" spans="1:2">
      <c r="A29" s="188"/>
    </row>
    <row r="30" spans="1:2">
      <c r="A30" s="188" t="s">
        <v>179</v>
      </c>
      <c r="B30" s="192" t="s">
        <v>216</v>
      </c>
    </row>
    <row r="31" spans="1:2">
      <c r="A31" s="188"/>
    </row>
    <row r="32" spans="1:2">
      <c r="A32" s="191" t="s">
        <v>170</v>
      </c>
      <c r="B32" s="192" t="s">
        <v>218</v>
      </c>
    </row>
    <row r="33" spans="1:2">
      <c r="A33" s="188"/>
    </row>
    <row r="34" spans="1:2">
      <c r="A34" s="191" t="s">
        <v>171</v>
      </c>
      <c r="B34" s="192"/>
    </row>
    <row r="35" spans="1:2">
      <c r="A35" s="188"/>
    </row>
    <row r="36" spans="1:2">
      <c r="A36" s="191" t="s">
        <v>172</v>
      </c>
      <c r="B36" s="192"/>
    </row>
    <row r="37" spans="1:2">
      <c r="A37" s="188"/>
    </row>
    <row r="38" spans="1:2">
      <c r="A38" s="191" t="s">
        <v>173</v>
      </c>
    </row>
    <row r="40" spans="1:2">
      <c r="A40" t="s">
        <v>180</v>
      </c>
    </row>
    <row r="42" spans="1:2">
      <c r="A42" s="192" t="s">
        <v>181</v>
      </c>
      <c r="B42" t="s">
        <v>296</v>
      </c>
    </row>
    <row r="43" spans="1:2" ht="6.75" hidden="1" customHeight="1"/>
    <row r="44" spans="1:2">
      <c r="A44" s="192" t="s">
        <v>182</v>
      </c>
      <c r="B44" s="235" t="s">
        <v>297</v>
      </c>
    </row>
    <row r="46" spans="1:2">
      <c r="A46" t="s">
        <v>183</v>
      </c>
      <c r="B46" t="s">
        <v>216</v>
      </c>
    </row>
    <row r="48" spans="1:2">
      <c r="A48" t="s">
        <v>184</v>
      </c>
      <c r="B48">
        <v>0</v>
      </c>
    </row>
    <row r="50" spans="1:2" ht="15.75" thickBot="1">
      <c r="A50" t="s">
        <v>185</v>
      </c>
      <c r="B50" s="101">
        <v>154697.91</v>
      </c>
    </row>
    <row r="51" spans="1:2" ht="15.75" thickTop="1"/>
    <row r="52" spans="1:2">
      <c r="A52" t="s">
        <v>186</v>
      </c>
      <c r="B52">
        <v>4</v>
      </c>
    </row>
    <row r="54" spans="1:2">
      <c r="A54" t="s">
        <v>187</v>
      </c>
      <c r="B54" t="s">
        <v>32</v>
      </c>
    </row>
    <row r="56" spans="1:2">
      <c r="A56" t="s">
        <v>188</v>
      </c>
    </row>
    <row r="57" spans="1:2">
      <c r="A57" t="s">
        <v>298</v>
      </c>
      <c r="B57" t="s">
        <v>32</v>
      </c>
    </row>
    <row r="58" spans="1:2">
      <c r="A58" t="s">
        <v>189</v>
      </c>
    </row>
    <row r="59" spans="1:2">
      <c r="A59" t="s">
        <v>190</v>
      </c>
      <c r="B59" t="s">
        <v>32</v>
      </c>
    </row>
    <row r="61" spans="1:2">
      <c r="A61" t="s">
        <v>191</v>
      </c>
      <c r="B61" t="s">
        <v>299</v>
      </c>
    </row>
    <row r="63" spans="1:2">
      <c r="A63" t="s">
        <v>192</v>
      </c>
      <c r="B63" t="s">
        <v>32</v>
      </c>
    </row>
    <row r="65" spans="1:2">
      <c r="A65" t="s">
        <v>193</v>
      </c>
      <c r="B65" s="59">
        <v>1000</v>
      </c>
    </row>
    <row r="67" spans="1:2">
      <c r="A67" t="s">
        <v>194</v>
      </c>
      <c r="B67" s="236">
        <v>180000</v>
      </c>
    </row>
    <row r="70" spans="1:2">
      <c r="A70" t="s">
        <v>195</v>
      </c>
      <c r="B70" s="59">
        <v>200000</v>
      </c>
    </row>
    <row r="72" spans="1:2">
      <c r="A72" t="s">
        <v>196</v>
      </c>
      <c r="B72" t="s">
        <v>32</v>
      </c>
    </row>
    <row r="74" spans="1:2">
      <c r="A74" t="s">
        <v>197</v>
      </c>
      <c r="B74" t="s">
        <v>32</v>
      </c>
    </row>
    <row r="77" spans="1:2">
      <c r="A77" s="193" t="s">
        <v>198</v>
      </c>
    </row>
    <row r="78" spans="1:2">
      <c r="A78" t="s">
        <v>300</v>
      </c>
      <c r="B78" t="s">
        <v>304</v>
      </c>
    </row>
    <row r="79" spans="1:2">
      <c r="A79" t="s">
        <v>301</v>
      </c>
    </row>
    <row r="80" spans="1:2">
      <c r="A80" t="s">
        <v>302</v>
      </c>
    </row>
    <row r="81" spans="1:1">
      <c r="A81" t="s">
        <v>303</v>
      </c>
    </row>
    <row r="83" spans="1:1">
      <c r="A83" s="193" t="s">
        <v>207</v>
      </c>
    </row>
    <row r="84" spans="1:1">
      <c r="A84" s="194"/>
    </row>
    <row r="85" spans="1:1">
      <c r="A85" s="195" t="s">
        <v>199</v>
      </c>
    </row>
    <row r="86" spans="1:1">
      <c r="A86" s="195" t="s">
        <v>200</v>
      </c>
    </row>
    <row r="87" spans="1:1">
      <c r="A87" s="195" t="s">
        <v>201</v>
      </c>
    </row>
    <row r="88" spans="1:1">
      <c r="A88" s="195" t="s">
        <v>202</v>
      </c>
    </row>
    <row r="89" spans="1:1">
      <c r="A89" s="195" t="s">
        <v>203</v>
      </c>
    </row>
    <row r="90" spans="1:1">
      <c r="A90" s="195" t="s">
        <v>204</v>
      </c>
    </row>
    <row r="91" spans="1:1">
      <c r="A91" s="195" t="s">
        <v>205</v>
      </c>
    </row>
    <row r="92" spans="1:1">
      <c r="A92" s="195" t="s">
        <v>206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0D777-E66D-407F-8C3E-86D54ADFDA2B}">
  <dimension ref="A5:B26"/>
  <sheetViews>
    <sheetView workbookViewId="0">
      <selection activeCell="D8" sqref="D8"/>
    </sheetView>
  </sheetViews>
  <sheetFormatPr baseColWidth="10" defaultRowHeight="15"/>
  <cols>
    <col min="1" max="1" width="79.7109375" customWidth="1"/>
    <col min="2" max="2" width="18.85546875" bestFit="1" customWidth="1"/>
  </cols>
  <sheetData>
    <row r="5" spans="1:2">
      <c r="A5" s="196" t="s">
        <v>292</v>
      </c>
      <c r="B5" s="196" t="s">
        <v>294</v>
      </c>
    </row>
    <row r="6" spans="1:2">
      <c r="A6" s="71" t="s">
        <v>208</v>
      </c>
    </row>
    <row r="7" spans="1:2" ht="30">
      <c r="A7" s="71" t="s">
        <v>209</v>
      </c>
      <c r="B7" s="192" t="s">
        <v>295</v>
      </c>
    </row>
    <row r="8" spans="1:2" ht="30">
      <c r="A8" s="71" t="s">
        <v>210</v>
      </c>
    </row>
    <row r="9" spans="1:2" ht="30">
      <c r="A9" s="71" t="s">
        <v>211</v>
      </c>
    </row>
    <row r="13" spans="1:2">
      <c r="A13" s="196" t="s">
        <v>293</v>
      </c>
    </row>
    <row r="15" spans="1:2">
      <c r="A15" t="s">
        <v>233</v>
      </c>
    </row>
    <row r="16" spans="1:2">
      <c r="A16" t="s">
        <v>234</v>
      </c>
    </row>
    <row r="17" spans="1:1">
      <c r="A17" t="s">
        <v>235</v>
      </c>
    </row>
    <row r="18" spans="1:1">
      <c r="A18" t="s">
        <v>236</v>
      </c>
    </row>
    <row r="19" spans="1:1">
      <c r="A19" t="s">
        <v>237</v>
      </c>
    </row>
    <row r="20" spans="1:1">
      <c r="A20" t="s">
        <v>238</v>
      </c>
    </row>
    <row r="21" spans="1:1">
      <c r="A21" t="s">
        <v>239</v>
      </c>
    </row>
    <row r="22" spans="1:1">
      <c r="A22" t="s">
        <v>240</v>
      </c>
    </row>
    <row r="23" spans="1:1">
      <c r="A23" t="s">
        <v>241</v>
      </c>
    </row>
    <row r="24" spans="1:1">
      <c r="A24" t="s">
        <v>242</v>
      </c>
    </row>
    <row r="25" spans="1:1">
      <c r="A25" t="s">
        <v>243</v>
      </c>
    </row>
    <row r="26" spans="1:1">
      <c r="A26" t="s">
        <v>244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2:O26"/>
  <sheetViews>
    <sheetView workbookViewId="0">
      <selection activeCell="A6" sqref="A6:XFD6"/>
    </sheetView>
  </sheetViews>
  <sheetFormatPr baseColWidth="10" defaultColWidth="11" defaultRowHeight="15"/>
  <cols>
    <col min="1" max="1" width="24.42578125" customWidth="1"/>
    <col min="2" max="2" width="26" customWidth="1"/>
    <col min="3" max="3" width="14.42578125" customWidth="1"/>
    <col min="4" max="4" width="12.85546875" customWidth="1"/>
    <col min="5" max="5" width="14" customWidth="1"/>
    <col min="6" max="6" width="15" customWidth="1"/>
    <col min="7" max="10" width="12.85546875" customWidth="1"/>
    <col min="11" max="11" width="23.42578125" customWidth="1"/>
    <col min="12" max="12" width="11.5703125" customWidth="1"/>
    <col min="13" max="13" width="10.42578125" customWidth="1"/>
    <col min="14" max="14" width="32.42578125" customWidth="1"/>
  </cols>
  <sheetData>
    <row r="2" spans="1:15" ht="15.75" thickBot="1">
      <c r="A2" s="97" t="s">
        <v>76</v>
      </c>
      <c r="B2" s="14"/>
      <c r="C2" s="14"/>
      <c r="L2" s="14"/>
      <c r="M2" s="14"/>
      <c r="N2" s="14"/>
    </row>
    <row r="3" spans="1:15" ht="15.75" thickBot="1">
      <c r="A3" s="14"/>
      <c r="B3" s="14"/>
      <c r="C3" s="14"/>
      <c r="L3" s="124" t="s">
        <v>77</v>
      </c>
      <c r="M3" s="125"/>
      <c r="N3" s="14"/>
    </row>
    <row r="4" spans="1:15" s="96" customFormat="1" ht="45">
      <c r="A4" s="197" t="s">
        <v>78</v>
      </c>
      <c r="B4" s="215" t="s">
        <v>213</v>
      </c>
      <c r="C4" s="198" t="s">
        <v>79</v>
      </c>
      <c r="D4" s="126" t="s">
        <v>83</v>
      </c>
      <c r="E4" s="199" t="s">
        <v>80</v>
      </c>
      <c r="F4" s="200" t="s">
        <v>81</v>
      </c>
      <c r="G4" s="216" t="s">
        <v>219</v>
      </c>
      <c r="H4" s="216" t="s">
        <v>220</v>
      </c>
      <c r="I4" s="216" t="s">
        <v>221</v>
      </c>
      <c r="J4" s="216" t="s">
        <v>222</v>
      </c>
      <c r="K4" s="98" t="s">
        <v>84</v>
      </c>
      <c r="L4" s="126" t="s">
        <v>85</v>
      </c>
      <c r="M4" s="98" t="s">
        <v>86</v>
      </c>
      <c r="N4" s="200" t="s">
        <v>82</v>
      </c>
    </row>
    <row r="5" spans="1:15" ht="48" customHeight="1">
      <c r="A5" s="204" t="s">
        <v>87</v>
      </c>
      <c r="B5" s="47" t="s">
        <v>225</v>
      </c>
      <c r="C5" s="48">
        <v>11688.35</v>
      </c>
      <c r="D5" s="47"/>
      <c r="E5" s="99">
        <v>200</v>
      </c>
      <c r="F5" s="205">
        <f>C5*100/B14</f>
        <v>7.5555965817508461</v>
      </c>
      <c r="G5" s="47"/>
      <c r="H5" s="47"/>
      <c r="I5" s="47"/>
      <c r="J5" s="47"/>
      <c r="K5" s="204" t="s">
        <v>88</v>
      </c>
      <c r="L5" s="214">
        <v>43596</v>
      </c>
      <c r="M5" s="186">
        <v>49444</v>
      </c>
      <c r="N5" s="206" t="s">
        <v>212</v>
      </c>
    </row>
    <row r="6" spans="1:15" s="170" customFormat="1" ht="45">
      <c r="A6" s="211" t="s">
        <v>89</v>
      </c>
      <c r="B6" s="206" t="s">
        <v>226</v>
      </c>
      <c r="C6" s="39"/>
      <c r="D6" s="213">
        <v>139943</v>
      </c>
      <c r="E6" s="99">
        <v>1000</v>
      </c>
      <c r="F6" s="212">
        <f>D6*100/B14</f>
        <v>90.462114194044375</v>
      </c>
      <c r="G6" s="217" t="s">
        <v>224</v>
      </c>
      <c r="H6" s="217"/>
      <c r="I6" s="217"/>
      <c r="J6" s="217"/>
      <c r="K6" s="39"/>
      <c r="L6" s="214">
        <v>43597</v>
      </c>
      <c r="M6" s="39"/>
      <c r="N6" s="206" t="s">
        <v>212</v>
      </c>
    </row>
    <row r="7" spans="1:15" ht="27.75" customHeight="1">
      <c r="A7" s="187" t="s">
        <v>90</v>
      </c>
      <c r="B7" s="47" t="s">
        <v>91</v>
      </c>
      <c r="C7" s="48">
        <v>2794.34</v>
      </c>
      <c r="D7" s="47"/>
      <c r="E7" s="99">
        <v>150</v>
      </c>
      <c r="F7" s="207">
        <f>C7*100/B14</f>
        <v>1.8063204603087397</v>
      </c>
      <c r="G7" s="47"/>
      <c r="H7" s="47"/>
      <c r="I7" s="47"/>
      <c r="J7" s="206" t="s">
        <v>223</v>
      </c>
      <c r="K7" s="39"/>
      <c r="L7" s="214">
        <v>43598</v>
      </c>
      <c r="M7" s="39"/>
      <c r="N7" s="206" t="s">
        <v>212</v>
      </c>
    </row>
    <row r="8" spans="1:15" ht="33.75">
      <c r="A8" s="208" t="s">
        <v>227</v>
      </c>
      <c r="B8" s="206" t="s">
        <v>225</v>
      </c>
      <c r="C8" s="48">
        <v>272.22000000000003</v>
      </c>
      <c r="D8" s="47"/>
      <c r="E8" s="99">
        <v>145</v>
      </c>
      <c r="F8" s="207">
        <f>C8*100/B14</f>
        <v>0.17596876389603455</v>
      </c>
      <c r="G8" s="47"/>
      <c r="H8" s="206" t="s">
        <v>228</v>
      </c>
      <c r="I8" s="47"/>
      <c r="J8" s="47"/>
      <c r="K8" s="39"/>
      <c r="L8" s="209">
        <v>45635</v>
      </c>
      <c r="M8" s="210" t="s">
        <v>92</v>
      </c>
      <c r="N8" s="206" t="s">
        <v>212</v>
      </c>
    </row>
    <row r="9" spans="1:15" ht="15.75" thickBot="1">
      <c r="A9" s="201" t="s">
        <v>93</v>
      </c>
      <c r="B9" s="201"/>
      <c r="C9" s="202">
        <f>SUM(C5:C8)</f>
        <v>14754.91</v>
      </c>
      <c r="D9" s="202">
        <f>SUM(D5:D8)</f>
        <v>139943</v>
      </c>
      <c r="E9" s="202">
        <f>SUM(E5:E8)</f>
        <v>1495</v>
      </c>
      <c r="F9" s="203">
        <f>SUM(F5:F8)</f>
        <v>100</v>
      </c>
      <c r="G9" s="202"/>
      <c r="H9" s="202"/>
      <c r="I9" s="202"/>
      <c r="J9" s="202"/>
      <c r="K9" s="201"/>
      <c r="L9" s="14"/>
      <c r="N9" s="201"/>
    </row>
    <row r="10" spans="1:15">
      <c r="C10" s="14"/>
      <c r="L10" s="14"/>
      <c r="M10" s="14"/>
      <c r="O10" s="14"/>
    </row>
    <row r="11" spans="1:15">
      <c r="C11" s="14"/>
      <c r="L11" s="14"/>
      <c r="M11" s="14"/>
      <c r="O11" s="14"/>
    </row>
    <row r="12" spans="1:15">
      <c r="C12" s="14"/>
      <c r="L12" s="14"/>
      <c r="M12" s="14"/>
      <c r="O12" s="14"/>
    </row>
    <row r="13" spans="1:15">
      <c r="C13" s="14"/>
      <c r="L13" s="14"/>
      <c r="M13" s="14"/>
      <c r="O13" s="14"/>
    </row>
    <row r="14" spans="1:15" ht="15.75" thickBot="1">
      <c r="A14" s="100" t="s">
        <v>94</v>
      </c>
      <c r="B14" s="101">
        <f>C9+D9</f>
        <v>154697.91</v>
      </c>
      <c r="C14" s="14"/>
      <c r="L14" s="14"/>
      <c r="M14" s="14"/>
      <c r="O14" s="14"/>
    </row>
    <row r="15" spans="1:15" ht="15.75" thickTop="1">
      <c r="C15" s="14"/>
      <c r="L15" s="14"/>
      <c r="M15" s="14"/>
      <c r="O15" s="14"/>
    </row>
    <row r="16" spans="1:15" ht="45">
      <c r="A16" s="102" t="s">
        <v>95</v>
      </c>
      <c r="B16" s="103" t="s">
        <v>96</v>
      </c>
      <c r="C16" s="102"/>
      <c r="D16" s="104"/>
      <c r="E16" s="104" t="s">
        <v>97</v>
      </c>
      <c r="F16" s="104"/>
      <c r="G16" s="104"/>
      <c r="H16" s="104"/>
      <c r="I16" s="104"/>
      <c r="J16" s="104"/>
      <c r="K16" s="104"/>
      <c r="L16" s="104"/>
      <c r="M16" s="104"/>
      <c r="N16" s="104"/>
      <c r="O16" s="104"/>
    </row>
    <row r="17" spans="1:15">
      <c r="A17" s="105"/>
      <c r="B17" s="103" t="s">
        <v>98</v>
      </c>
      <c r="C17" s="102"/>
      <c r="D17" s="104"/>
      <c r="E17" s="104" t="s">
        <v>97</v>
      </c>
      <c r="F17" s="104"/>
      <c r="G17" s="104"/>
      <c r="H17" s="104"/>
      <c r="I17" s="104"/>
      <c r="J17" s="104"/>
      <c r="K17" s="104"/>
      <c r="L17" s="104"/>
      <c r="M17" s="104"/>
      <c r="N17" s="104"/>
      <c r="O17" s="104"/>
    </row>
    <row r="18" spans="1:15">
      <c r="A18" s="105"/>
      <c r="B18" s="103"/>
      <c r="C18" s="106"/>
      <c r="D18" s="104"/>
      <c r="E18" s="104"/>
      <c r="F18" s="104"/>
      <c r="G18" s="104"/>
      <c r="H18" s="104"/>
      <c r="I18" s="104"/>
      <c r="J18" s="104"/>
      <c r="K18" s="104"/>
      <c r="L18" s="104"/>
      <c r="M18" s="104"/>
      <c r="N18" s="104"/>
      <c r="O18" s="104"/>
    </row>
    <row r="20" spans="1:15" ht="15.75" thickBot="1">
      <c r="A20" s="14"/>
      <c r="B20" s="14"/>
      <c r="C20" s="14"/>
      <c r="D20" s="14"/>
      <c r="E20" s="14"/>
      <c r="F20" s="14"/>
      <c r="G20" s="14"/>
      <c r="H20" s="14"/>
      <c r="I20" s="14"/>
      <c r="J20" s="14"/>
      <c r="K20" s="14"/>
      <c r="L20" s="14"/>
      <c r="M20" s="14"/>
      <c r="N20" s="14"/>
    </row>
    <row r="21" spans="1:15" ht="15.75" thickBot="1">
      <c r="A21" s="218" t="s">
        <v>229</v>
      </c>
      <c r="B21" s="14"/>
      <c r="C21" s="14"/>
      <c r="D21" s="14"/>
      <c r="E21" s="14"/>
      <c r="F21" s="14"/>
      <c r="G21" s="14"/>
      <c r="H21" s="14"/>
      <c r="I21" s="14"/>
      <c r="J21" s="14"/>
      <c r="K21" s="14"/>
      <c r="L21" s="14"/>
      <c r="M21" s="14"/>
      <c r="N21" s="14"/>
    </row>
    <row r="22" spans="1:15">
      <c r="A22" s="14" t="s">
        <v>230</v>
      </c>
      <c r="B22" s="14"/>
      <c r="C22" s="14"/>
      <c r="D22" s="14"/>
      <c r="E22" s="14"/>
      <c r="F22" s="14"/>
      <c r="G22" s="14"/>
      <c r="H22" s="14"/>
      <c r="I22" s="14"/>
      <c r="J22" s="14"/>
      <c r="K22" s="14"/>
      <c r="L22" s="14"/>
      <c r="M22" s="14"/>
      <c r="N22" s="14"/>
    </row>
    <row r="23" spans="1:15">
      <c r="A23" s="14"/>
      <c r="B23" s="14"/>
      <c r="C23" s="14"/>
      <c r="D23" s="14"/>
      <c r="E23" s="14"/>
      <c r="F23" s="14"/>
      <c r="G23" s="14"/>
      <c r="H23" s="14"/>
      <c r="I23" s="14"/>
      <c r="J23" s="14"/>
      <c r="K23" s="14"/>
      <c r="L23" s="14"/>
      <c r="M23" s="14"/>
      <c r="N23" s="14"/>
    </row>
    <row r="24" spans="1:15">
      <c r="A24" t="s">
        <v>231</v>
      </c>
    </row>
    <row r="26" spans="1:15">
      <c r="A26" t="s">
        <v>232</v>
      </c>
    </row>
  </sheetData>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E20"/>
  <sheetViews>
    <sheetView workbookViewId="0">
      <selection activeCell="E14" sqref="E14"/>
    </sheetView>
  </sheetViews>
  <sheetFormatPr baseColWidth="10" defaultColWidth="11" defaultRowHeight="15"/>
  <cols>
    <col min="1" max="1" width="21" customWidth="1"/>
    <col min="2" max="2" width="21.140625" customWidth="1"/>
    <col min="3" max="3" width="17.140625" customWidth="1"/>
    <col min="4" max="4" width="12.85546875" customWidth="1"/>
    <col min="5" max="5" width="67.42578125" customWidth="1"/>
  </cols>
  <sheetData>
    <row r="3" spans="1:5" s="77" customFormat="1" ht="36">
      <c r="A3" s="78" t="s">
        <v>121</v>
      </c>
      <c r="B3" s="79" t="s">
        <v>122</v>
      </c>
      <c r="C3" s="80" t="s">
        <v>123</v>
      </c>
      <c r="D3" s="81" t="s">
        <v>124</v>
      </c>
      <c r="E3" s="82" t="s">
        <v>14</v>
      </c>
    </row>
    <row r="4" spans="1:5">
      <c r="A4" s="183" t="s">
        <v>125</v>
      </c>
      <c r="B4" s="83">
        <v>450</v>
      </c>
      <c r="C4" s="84"/>
      <c r="D4" s="85"/>
      <c r="E4" s="172" t="s">
        <v>126</v>
      </c>
    </row>
    <row r="5" spans="1:5">
      <c r="A5" s="184" t="s">
        <v>127</v>
      </c>
      <c r="B5" s="86">
        <v>37</v>
      </c>
      <c r="C5" s="87"/>
      <c r="D5" s="39"/>
      <c r="E5" s="71"/>
    </row>
    <row r="6" spans="1:5">
      <c r="A6" s="184" t="s">
        <v>128</v>
      </c>
      <c r="B6" s="86">
        <v>60</v>
      </c>
      <c r="C6" s="87"/>
      <c r="D6" s="39"/>
      <c r="E6" s="39"/>
    </row>
    <row r="7" spans="1:5">
      <c r="A7" s="185" t="s">
        <v>129</v>
      </c>
      <c r="B7" s="88">
        <v>300</v>
      </c>
      <c r="C7" s="87"/>
      <c r="D7" s="39"/>
      <c r="E7" s="39"/>
    </row>
    <row r="8" spans="1:5">
      <c r="A8" s="185" t="s">
        <v>130</v>
      </c>
      <c r="B8" s="88">
        <v>80</v>
      </c>
      <c r="C8" s="87"/>
      <c r="D8" s="39"/>
      <c r="E8" s="39"/>
    </row>
    <row r="9" spans="1:5">
      <c r="A9" s="185" t="s">
        <v>131</v>
      </c>
      <c r="B9" s="88">
        <v>58</v>
      </c>
      <c r="C9" s="87"/>
      <c r="D9" s="39"/>
      <c r="E9" s="39"/>
    </row>
    <row r="10" spans="1:5">
      <c r="A10" s="89" t="s">
        <v>93</v>
      </c>
      <c r="B10" s="90">
        <v>985</v>
      </c>
    </row>
    <row r="12" spans="1:5" ht="15.75" thickBot="1">
      <c r="A12" s="14"/>
      <c r="B12" s="9"/>
    </row>
    <row r="13" spans="1:5" ht="15.75" thickBot="1">
      <c r="A13" s="78" t="s">
        <v>132</v>
      </c>
      <c r="B13" s="14"/>
    </row>
    <row r="14" spans="1:5">
      <c r="A14" s="182" t="s">
        <v>291</v>
      </c>
      <c r="B14" s="75">
        <v>1280</v>
      </c>
    </row>
    <row r="15" spans="1:5">
      <c r="B15" s="91"/>
    </row>
    <row r="16" spans="1:5" ht="15.75" thickBot="1"/>
    <row r="17" spans="1:3">
      <c r="A17" s="92" t="s">
        <v>133</v>
      </c>
      <c r="B17" s="93">
        <f>B14-B10</f>
        <v>295</v>
      </c>
    </row>
    <row r="18" spans="1:3">
      <c r="A18" s="14"/>
      <c r="B18" s="9"/>
      <c r="C18" s="94"/>
    </row>
    <row r="20" spans="1:3">
      <c r="A20" s="14"/>
      <c r="B20" s="95"/>
    </row>
  </sheetData>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2:P12"/>
  <sheetViews>
    <sheetView workbookViewId="0">
      <selection activeCell="O5" sqref="O5"/>
    </sheetView>
  </sheetViews>
  <sheetFormatPr baseColWidth="10" defaultColWidth="11" defaultRowHeight="15"/>
  <cols>
    <col min="1" max="1" width="14.7109375" customWidth="1"/>
    <col min="2" max="2" width="21.5703125" customWidth="1"/>
    <col min="3" max="3" width="17.7109375" customWidth="1"/>
    <col min="4" max="4" width="24.85546875" customWidth="1"/>
    <col min="5" max="5" width="23.140625" customWidth="1"/>
    <col min="6" max="6" width="14.42578125" customWidth="1"/>
    <col min="7" max="7" width="18.5703125" customWidth="1"/>
    <col min="8" max="8" width="13.42578125" customWidth="1"/>
    <col min="9" max="11" width="14.42578125" customWidth="1"/>
    <col min="12" max="12" width="13.7109375" customWidth="1"/>
    <col min="13" max="13" width="18.5703125" customWidth="1"/>
  </cols>
  <sheetData>
    <row r="2" spans="1:16" ht="15.75" thickBot="1"/>
    <row r="3" spans="1:16" ht="45.75" thickBot="1">
      <c r="A3" s="230" t="s">
        <v>245</v>
      </c>
      <c r="B3" s="231" t="s">
        <v>246</v>
      </c>
      <c r="C3" s="231" t="s">
        <v>247</v>
      </c>
      <c r="D3" s="231" t="s">
        <v>248</v>
      </c>
      <c r="E3" s="231" t="s">
        <v>249</v>
      </c>
      <c r="F3" s="231" t="s">
        <v>250</v>
      </c>
      <c r="G3" s="231" t="s">
        <v>251</v>
      </c>
      <c r="H3" s="231" t="s">
        <v>252</v>
      </c>
      <c r="I3" s="231" t="s">
        <v>253</v>
      </c>
      <c r="J3" s="231" t="s">
        <v>282</v>
      </c>
      <c r="K3" s="231" t="s">
        <v>283</v>
      </c>
      <c r="L3" s="231" t="s">
        <v>254</v>
      </c>
      <c r="M3" s="232" t="s">
        <v>255</v>
      </c>
      <c r="N3" s="233" t="s">
        <v>132</v>
      </c>
      <c r="O3" s="233" t="s">
        <v>289</v>
      </c>
      <c r="P3" s="233" t="s">
        <v>290</v>
      </c>
    </row>
    <row r="4" spans="1:16" ht="45">
      <c r="A4" s="220">
        <v>1</v>
      </c>
      <c r="B4" s="220" t="s">
        <v>286</v>
      </c>
      <c r="C4" s="220" t="s">
        <v>270</v>
      </c>
      <c r="D4" s="220" t="s">
        <v>287</v>
      </c>
      <c r="E4" s="220" t="s">
        <v>288</v>
      </c>
      <c r="F4" s="220"/>
      <c r="G4" s="220"/>
      <c r="H4" s="220"/>
      <c r="I4" s="220" t="s">
        <v>278</v>
      </c>
      <c r="J4" s="220"/>
      <c r="K4" s="220"/>
      <c r="L4" s="220"/>
      <c r="M4" s="220"/>
      <c r="N4" s="234">
        <v>1500</v>
      </c>
      <c r="O4" s="234">
        <v>1260</v>
      </c>
      <c r="P4" s="234">
        <f>N4-O4</f>
        <v>240</v>
      </c>
    </row>
    <row r="5" spans="1:16" ht="60">
      <c r="A5" s="220">
        <v>2</v>
      </c>
      <c r="B5" s="220" t="s">
        <v>134</v>
      </c>
      <c r="C5" s="220" t="s">
        <v>256</v>
      </c>
      <c r="D5" s="220" t="s">
        <v>257</v>
      </c>
      <c r="E5" s="220" t="s">
        <v>258</v>
      </c>
      <c r="F5" s="220" t="s">
        <v>259</v>
      </c>
      <c r="G5" s="221">
        <v>150000</v>
      </c>
      <c r="H5" s="221">
        <v>180000</v>
      </c>
      <c r="I5" s="220" t="s">
        <v>260</v>
      </c>
      <c r="J5" s="223">
        <v>200000</v>
      </c>
      <c r="K5" s="223">
        <f>H5-J5</f>
        <v>-20000</v>
      </c>
      <c r="L5" s="220" t="s">
        <v>261</v>
      </c>
      <c r="M5" s="220" t="s">
        <v>262</v>
      </c>
      <c r="N5" s="39"/>
      <c r="O5" s="39"/>
      <c r="P5" s="39"/>
    </row>
    <row r="6" spans="1:16" ht="30">
      <c r="A6" s="220">
        <v>3</v>
      </c>
      <c r="B6" s="219" t="s">
        <v>263</v>
      </c>
      <c r="C6" s="219" t="s">
        <v>264</v>
      </c>
      <c r="D6" s="219" t="s">
        <v>265</v>
      </c>
      <c r="E6" s="219" t="s">
        <v>266</v>
      </c>
      <c r="F6" s="219" t="s">
        <v>267</v>
      </c>
      <c r="G6" s="222">
        <v>15000</v>
      </c>
      <c r="H6" s="222">
        <v>13000</v>
      </c>
      <c r="I6" s="219" t="s">
        <v>281</v>
      </c>
      <c r="J6" s="224">
        <v>2000</v>
      </c>
      <c r="K6" s="224">
        <f>H6-J6</f>
        <v>11000</v>
      </c>
      <c r="L6" s="219" t="s">
        <v>268</v>
      </c>
      <c r="M6" s="219" t="s">
        <v>267</v>
      </c>
      <c r="N6" s="39"/>
      <c r="O6" s="39"/>
      <c r="P6" s="39"/>
    </row>
    <row r="7" spans="1:16" ht="30">
      <c r="A7" s="220">
        <v>4</v>
      </c>
      <c r="B7" s="219" t="s">
        <v>269</v>
      </c>
      <c r="C7" s="219" t="s">
        <v>270</v>
      </c>
      <c r="D7" s="219" t="s">
        <v>271</v>
      </c>
      <c r="E7" s="219" t="s">
        <v>272</v>
      </c>
      <c r="F7" s="219" t="s">
        <v>267</v>
      </c>
      <c r="G7" s="222">
        <v>5000</v>
      </c>
      <c r="H7" s="222">
        <v>5000</v>
      </c>
      <c r="I7" s="219" t="s">
        <v>273</v>
      </c>
      <c r="J7" s="219">
        <v>0</v>
      </c>
      <c r="K7" s="222">
        <f>H7-J7</f>
        <v>5000</v>
      </c>
      <c r="L7" s="219" t="s">
        <v>267</v>
      </c>
      <c r="M7" s="219" t="s">
        <v>267</v>
      </c>
      <c r="N7" s="39"/>
      <c r="O7" s="39"/>
      <c r="P7" s="39"/>
    </row>
    <row r="8" spans="1:16" ht="45.75" thickBot="1">
      <c r="A8" s="220">
        <v>5</v>
      </c>
      <c r="B8" s="219" t="s">
        <v>274</v>
      </c>
      <c r="C8" s="219" t="s">
        <v>270</v>
      </c>
      <c r="D8" s="219" t="s">
        <v>275</v>
      </c>
      <c r="E8" s="219" t="s">
        <v>276</v>
      </c>
      <c r="F8" s="219" t="s">
        <v>277</v>
      </c>
      <c r="G8" s="222">
        <v>20000</v>
      </c>
      <c r="H8" s="225">
        <v>18000</v>
      </c>
      <c r="I8" s="219" t="s">
        <v>278</v>
      </c>
      <c r="J8" s="219">
        <v>0</v>
      </c>
      <c r="K8" s="225">
        <f>H8-J8</f>
        <v>18000</v>
      </c>
      <c r="L8" s="219" t="s">
        <v>279</v>
      </c>
      <c r="M8" s="219" t="s">
        <v>280</v>
      </c>
      <c r="N8" s="39"/>
      <c r="O8" s="39"/>
      <c r="P8" s="39"/>
    </row>
    <row r="9" spans="1:16" ht="15.75" thickBot="1">
      <c r="A9" s="227" t="s">
        <v>93</v>
      </c>
      <c r="H9" s="226">
        <f>SUM(H5:H8)</f>
        <v>216000</v>
      </c>
      <c r="K9" s="229">
        <f>SUM(K5:K8)</f>
        <v>14000</v>
      </c>
    </row>
    <row r="11" spans="1:16" ht="15.75" thickBot="1">
      <c r="A11" s="228" t="s">
        <v>284</v>
      </c>
      <c r="B11" s="76">
        <v>14000</v>
      </c>
    </row>
    <row r="12" spans="1:16" ht="15.75" thickTop="1">
      <c r="A12" s="192" t="s">
        <v>285</v>
      </c>
    </row>
  </sheetData>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K37"/>
  <sheetViews>
    <sheetView topLeftCell="A8" workbookViewId="0">
      <selection activeCell="H20" sqref="H20"/>
    </sheetView>
  </sheetViews>
  <sheetFormatPr baseColWidth="10" defaultColWidth="11" defaultRowHeight="15"/>
  <cols>
    <col min="1" max="1" width="18" bestFit="1" customWidth="1"/>
    <col min="2" max="2" width="21" customWidth="1"/>
    <col min="3" max="3" width="15.5703125" customWidth="1"/>
    <col min="4" max="4" width="16.42578125" customWidth="1"/>
    <col min="5" max="5" width="16" customWidth="1"/>
    <col min="6" max="6" width="13.85546875" customWidth="1"/>
    <col min="7" max="7" width="21.42578125" customWidth="1"/>
    <col min="8" max="8" width="34.42578125" customWidth="1"/>
    <col min="9" max="9" width="21.42578125" customWidth="1"/>
    <col min="11" max="11" width="20.85546875" customWidth="1"/>
  </cols>
  <sheetData>
    <row r="2" spans="1:9">
      <c r="B2" s="29"/>
      <c r="C2" s="30"/>
      <c r="D2" s="31" t="s">
        <v>135</v>
      </c>
      <c r="E2" s="30"/>
      <c r="F2" s="30"/>
      <c r="G2" s="32"/>
    </row>
    <row r="3" spans="1:9" ht="60">
      <c r="A3" s="33"/>
      <c r="B3" s="34" t="s">
        <v>136</v>
      </c>
      <c r="C3" s="35" t="s">
        <v>137</v>
      </c>
      <c r="D3" s="36" t="s">
        <v>81</v>
      </c>
      <c r="E3" s="34" t="s">
        <v>138</v>
      </c>
      <c r="F3" s="34" t="s">
        <v>139</v>
      </c>
      <c r="G3" s="37" t="s">
        <v>122</v>
      </c>
      <c r="H3" s="38" t="s">
        <v>140</v>
      </c>
      <c r="I3" s="73" t="s">
        <v>141</v>
      </c>
    </row>
    <row r="4" spans="1:9" ht="113.25">
      <c r="A4" s="39">
        <v>1</v>
      </c>
      <c r="B4" s="40"/>
      <c r="C4" s="41"/>
      <c r="D4" s="42" t="e">
        <f>C4*100/C10</f>
        <v>#DIV/0!</v>
      </c>
      <c r="E4" s="43" t="e">
        <f>D4*E10/100</f>
        <v>#DIV/0!</v>
      </c>
      <c r="F4" s="44"/>
      <c r="G4" s="45" t="e">
        <f t="shared" ref="G4:G9" si="0">E4/60</f>
        <v>#DIV/0!</v>
      </c>
      <c r="H4" s="46" t="s">
        <v>142</v>
      </c>
      <c r="I4" s="46" t="s">
        <v>143</v>
      </c>
    </row>
    <row r="5" spans="1:9">
      <c r="A5" s="39">
        <v>2</v>
      </c>
      <c r="B5" s="47"/>
      <c r="C5" s="48"/>
      <c r="D5" s="42" t="e">
        <f>C5*100/C10</f>
        <v>#DIV/0!</v>
      </c>
      <c r="E5" s="43" t="e">
        <f>D5*E10/100</f>
        <v>#DIV/0!</v>
      </c>
      <c r="F5" s="44"/>
      <c r="G5" s="45" t="e">
        <f t="shared" si="0"/>
        <v>#DIV/0!</v>
      </c>
    </row>
    <row r="6" spans="1:9">
      <c r="A6" s="39">
        <v>3</v>
      </c>
      <c r="B6" s="47"/>
      <c r="C6" s="48"/>
      <c r="D6" s="42" t="e">
        <f>C6*100/C10</f>
        <v>#DIV/0!</v>
      </c>
      <c r="E6" s="43" t="e">
        <f>D6*E10/100</f>
        <v>#DIV/0!</v>
      </c>
      <c r="F6" s="44"/>
      <c r="G6" s="45" t="e">
        <f t="shared" si="0"/>
        <v>#DIV/0!</v>
      </c>
    </row>
    <row r="7" spans="1:9">
      <c r="A7" s="39">
        <v>4</v>
      </c>
      <c r="B7" s="47"/>
      <c r="C7" s="48"/>
      <c r="D7" s="42" t="e">
        <f>C7*100/C10</f>
        <v>#DIV/0!</v>
      </c>
      <c r="E7" s="43" t="e">
        <f>D7*E10/100</f>
        <v>#DIV/0!</v>
      </c>
      <c r="F7" s="44"/>
      <c r="G7" s="45" t="e">
        <f t="shared" si="0"/>
        <v>#DIV/0!</v>
      </c>
    </row>
    <row r="8" spans="1:9">
      <c r="A8" s="39">
        <v>5</v>
      </c>
      <c r="B8" s="47"/>
      <c r="C8" s="48"/>
      <c r="D8" s="42" t="e">
        <f>C8*100/C10</f>
        <v>#DIV/0!</v>
      </c>
      <c r="E8" s="43" t="e">
        <f>D8*E10/100</f>
        <v>#DIV/0!</v>
      </c>
      <c r="F8" s="44"/>
      <c r="G8" s="45" t="e">
        <f t="shared" si="0"/>
        <v>#DIV/0!</v>
      </c>
    </row>
    <row r="9" spans="1:9">
      <c r="A9" s="39">
        <v>6</v>
      </c>
      <c r="B9" s="49"/>
      <c r="C9" s="50"/>
      <c r="D9" s="51" t="e">
        <f>C9*100/C10</f>
        <v>#DIV/0!</v>
      </c>
      <c r="E9" s="43" t="e">
        <f>D9*E10/100</f>
        <v>#DIV/0!</v>
      </c>
      <c r="F9" s="44"/>
      <c r="G9" s="52" t="e">
        <f t="shared" si="0"/>
        <v>#DIV/0!</v>
      </c>
    </row>
    <row r="10" spans="1:9">
      <c r="B10" s="53" t="s">
        <v>93</v>
      </c>
      <c r="C10" s="54">
        <f>SUM(C4:C9)</f>
        <v>0</v>
      </c>
      <c r="D10" s="55" t="e">
        <f>SUM(D4:D9)</f>
        <v>#DIV/0!</v>
      </c>
      <c r="E10" s="56">
        <v>20000</v>
      </c>
      <c r="G10" s="57" t="e">
        <f>SUM(G4:G9)</f>
        <v>#DIV/0!</v>
      </c>
    </row>
    <row r="11" spans="1:9">
      <c r="E11" s="58"/>
    </row>
    <row r="12" spans="1:9">
      <c r="H12" s="59"/>
    </row>
    <row r="13" spans="1:9">
      <c r="H13" s="59"/>
    </row>
    <row r="14" spans="1:9" ht="24.75">
      <c r="A14" s="60" t="s">
        <v>99</v>
      </c>
      <c r="B14" s="61" t="s">
        <v>144</v>
      </c>
      <c r="C14" s="62" t="s">
        <v>100</v>
      </c>
      <c r="D14" s="63" t="s">
        <v>101</v>
      </c>
      <c r="E14" s="63" t="s">
        <v>102</v>
      </c>
      <c r="F14" s="63" t="s">
        <v>103</v>
      </c>
    </row>
    <row r="15" spans="1:9">
      <c r="A15" s="64" t="s">
        <v>109</v>
      </c>
      <c r="B15" s="65"/>
      <c r="C15" s="66"/>
      <c r="D15" s="66">
        <f>B15/36</f>
        <v>0</v>
      </c>
      <c r="E15" s="66">
        <f>B15/48</f>
        <v>0</v>
      </c>
      <c r="F15" s="66">
        <f>B15/60</f>
        <v>0</v>
      </c>
    </row>
    <row r="18" spans="1:11">
      <c r="B18" s="29"/>
      <c r="C18" s="30"/>
      <c r="D18" s="31" t="s">
        <v>145</v>
      </c>
      <c r="E18" s="30"/>
      <c r="F18" s="30"/>
      <c r="G18" s="32"/>
    </row>
    <row r="19" spans="1:11" ht="75">
      <c r="A19" s="33"/>
      <c r="B19" s="67" t="s">
        <v>136</v>
      </c>
      <c r="C19" s="68" t="s">
        <v>137</v>
      </c>
      <c r="D19" s="69" t="s">
        <v>81</v>
      </c>
      <c r="E19" s="67" t="s">
        <v>146</v>
      </c>
      <c r="F19" s="67" t="s">
        <v>147</v>
      </c>
    </row>
    <row r="20" spans="1:11">
      <c r="A20" s="39">
        <v>1</v>
      </c>
      <c r="B20" s="40"/>
      <c r="C20" s="41"/>
      <c r="D20" s="42" t="e">
        <f>C20*100/C22</f>
        <v>#DIV/0!</v>
      </c>
      <c r="E20" s="39" t="s">
        <v>148</v>
      </c>
      <c r="F20" s="39"/>
    </row>
    <row r="21" spans="1:11">
      <c r="A21" s="39">
        <v>2</v>
      </c>
      <c r="B21" s="49"/>
      <c r="C21" s="50"/>
      <c r="D21" s="51" t="e">
        <f>C21*100/C22</f>
        <v>#DIV/0!</v>
      </c>
      <c r="E21" s="70"/>
      <c r="F21" s="71"/>
    </row>
    <row r="22" spans="1:11">
      <c r="B22" s="72" t="s">
        <v>93</v>
      </c>
      <c r="C22" s="54">
        <f>SUM(C20:C21)</f>
        <v>0</v>
      </c>
      <c r="D22" s="55" t="e">
        <f>SUM(D20:D21)</f>
        <v>#DIV/0!</v>
      </c>
    </row>
    <row r="24" spans="1:11" ht="15.75" thickBot="1"/>
    <row r="25" spans="1:11" ht="15.75" thickBot="1">
      <c r="A25" s="107" t="s">
        <v>99</v>
      </c>
      <c r="B25" s="61"/>
      <c r="C25" s="108" t="s">
        <v>100</v>
      </c>
      <c r="D25" s="109" t="s">
        <v>101</v>
      </c>
      <c r="E25" s="109" t="s">
        <v>102</v>
      </c>
      <c r="F25" s="109" t="s">
        <v>103</v>
      </c>
      <c r="G25" s="109" t="s">
        <v>104</v>
      </c>
      <c r="H25" s="109" t="s">
        <v>105</v>
      </c>
      <c r="I25" s="109" t="s">
        <v>106</v>
      </c>
      <c r="J25" s="109" t="s">
        <v>107</v>
      </c>
      <c r="K25" s="127" t="s">
        <v>108</v>
      </c>
    </row>
    <row r="26" spans="1:11">
      <c r="A26" s="110" t="s">
        <v>109</v>
      </c>
      <c r="B26" s="65">
        <v>50000</v>
      </c>
      <c r="C26" s="66">
        <f>B26/24</f>
        <v>2083.3333333333335</v>
      </c>
      <c r="D26" s="66">
        <f>B26/36</f>
        <v>1388.8888888888889</v>
      </c>
      <c r="E26" s="111">
        <f t="shared" ref="E26:E37" si="1">B26/48</f>
        <v>1041.6666666666667</v>
      </c>
      <c r="F26" s="111">
        <f t="shared" ref="F26:F37" si="2">B26/60</f>
        <v>833.33333333333337</v>
      </c>
      <c r="G26" s="112">
        <f t="shared" ref="G26:G37" si="3">B26/72</f>
        <v>694.44444444444446</v>
      </c>
      <c r="H26" s="112">
        <f t="shared" ref="H26:H37" si="4">B26/84</f>
        <v>595.23809523809518</v>
      </c>
      <c r="I26" s="112">
        <f t="shared" ref="I26:I37" si="5">B26/96</f>
        <v>520.83333333333337</v>
      </c>
      <c r="J26" s="112">
        <f t="shared" ref="J26:J37" si="6">B26/108</f>
        <v>462.96296296296299</v>
      </c>
      <c r="K26" s="112">
        <f t="shared" ref="K26:K37" si="7">B26/120</f>
        <v>416.66666666666669</v>
      </c>
    </row>
    <row r="27" spans="1:11">
      <c r="A27" s="113" t="s">
        <v>110</v>
      </c>
      <c r="B27" s="65">
        <f>B26*90/100</f>
        <v>45000</v>
      </c>
      <c r="C27" s="65">
        <f>B27/24</f>
        <v>1875</v>
      </c>
      <c r="D27" s="65">
        <f>B27/36</f>
        <v>1250</v>
      </c>
      <c r="E27" s="114">
        <f t="shared" si="1"/>
        <v>937.5</v>
      </c>
      <c r="F27" s="114">
        <f t="shared" si="2"/>
        <v>750</v>
      </c>
      <c r="G27" s="75">
        <f t="shared" si="3"/>
        <v>625</v>
      </c>
      <c r="H27" s="75">
        <f t="shared" si="4"/>
        <v>535.71428571428567</v>
      </c>
      <c r="I27" s="75">
        <f t="shared" si="5"/>
        <v>468.75</v>
      </c>
      <c r="J27" s="75">
        <f t="shared" si="6"/>
        <v>416.66666666666669</v>
      </c>
      <c r="K27" s="75">
        <f t="shared" si="7"/>
        <v>375</v>
      </c>
    </row>
    <row r="28" spans="1:11">
      <c r="A28" s="115" t="s">
        <v>111</v>
      </c>
      <c r="B28" s="65">
        <f>B26*80/100</f>
        <v>40000</v>
      </c>
      <c r="C28" s="65">
        <f t="shared" ref="C28:C37" si="8">B28/24</f>
        <v>1666.6666666666667</v>
      </c>
      <c r="D28" s="116">
        <f t="shared" ref="D28:D37" si="9">B28/36</f>
        <v>1111.1111111111111</v>
      </c>
      <c r="E28" s="114">
        <f t="shared" si="1"/>
        <v>833.33333333333337</v>
      </c>
      <c r="F28" s="114">
        <f t="shared" si="2"/>
        <v>666.66666666666663</v>
      </c>
      <c r="G28" s="75">
        <f t="shared" si="3"/>
        <v>555.55555555555554</v>
      </c>
      <c r="H28" s="75">
        <f t="shared" si="4"/>
        <v>476.1904761904762</v>
      </c>
      <c r="I28" s="75">
        <f t="shared" si="5"/>
        <v>416.66666666666669</v>
      </c>
      <c r="J28" s="75">
        <f t="shared" si="6"/>
        <v>370.37037037037038</v>
      </c>
      <c r="K28" s="75">
        <f t="shared" si="7"/>
        <v>333.33333333333331</v>
      </c>
    </row>
    <row r="29" spans="1:11">
      <c r="A29" s="113" t="s">
        <v>112</v>
      </c>
      <c r="B29" s="114">
        <f>B26*75/100</f>
        <v>37500</v>
      </c>
      <c r="C29" s="114">
        <f t="shared" si="8"/>
        <v>1562.5</v>
      </c>
      <c r="D29" s="114">
        <f t="shared" si="9"/>
        <v>1041.6666666666667</v>
      </c>
      <c r="E29" s="114">
        <f t="shared" si="1"/>
        <v>781.25</v>
      </c>
      <c r="F29" s="114">
        <f t="shared" si="2"/>
        <v>625</v>
      </c>
      <c r="G29" s="75">
        <f t="shared" si="3"/>
        <v>520.83333333333337</v>
      </c>
      <c r="H29" s="75">
        <f t="shared" si="4"/>
        <v>446.42857142857144</v>
      </c>
      <c r="I29" s="75">
        <f t="shared" si="5"/>
        <v>390.625</v>
      </c>
      <c r="J29" s="75">
        <f t="shared" si="6"/>
        <v>347.22222222222223</v>
      </c>
      <c r="K29" s="75">
        <f t="shared" si="7"/>
        <v>312.5</v>
      </c>
    </row>
    <row r="30" spans="1:11">
      <c r="A30" s="113" t="s">
        <v>113</v>
      </c>
      <c r="B30" s="117">
        <f>B26*70/100</f>
        <v>35000</v>
      </c>
      <c r="C30" s="114">
        <f t="shared" si="8"/>
        <v>1458.3333333333333</v>
      </c>
      <c r="D30" s="117">
        <f t="shared" si="9"/>
        <v>972.22222222222217</v>
      </c>
      <c r="E30" s="114">
        <f t="shared" si="1"/>
        <v>729.16666666666663</v>
      </c>
      <c r="F30" s="114">
        <f t="shared" si="2"/>
        <v>583.33333333333337</v>
      </c>
      <c r="G30" s="75">
        <f t="shared" si="3"/>
        <v>486.11111111111109</v>
      </c>
      <c r="H30" s="75">
        <f t="shared" si="4"/>
        <v>416.66666666666669</v>
      </c>
      <c r="I30" s="75">
        <f t="shared" si="5"/>
        <v>364.58333333333331</v>
      </c>
      <c r="J30" s="75">
        <f t="shared" si="6"/>
        <v>324.07407407407408</v>
      </c>
      <c r="K30" s="75">
        <f t="shared" si="7"/>
        <v>291.66666666666669</v>
      </c>
    </row>
    <row r="31" spans="1:11">
      <c r="A31" s="113" t="s">
        <v>114</v>
      </c>
      <c r="B31" s="114">
        <f>B26*60/100</f>
        <v>30000</v>
      </c>
      <c r="C31" s="114">
        <f t="shared" si="8"/>
        <v>1250</v>
      </c>
      <c r="D31" s="114">
        <f t="shared" si="9"/>
        <v>833.33333333333337</v>
      </c>
      <c r="E31" s="114">
        <f t="shared" si="1"/>
        <v>625</v>
      </c>
      <c r="F31" s="114">
        <f t="shared" si="2"/>
        <v>500</v>
      </c>
      <c r="G31" s="75">
        <f t="shared" si="3"/>
        <v>416.66666666666669</v>
      </c>
      <c r="H31" s="75">
        <f t="shared" si="4"/>
        <v>357.14285714285717</v>
      </c>
      <c r="I31" s="75">
        <f t="shared" si="5"/>
        <v>312.5</v>
      </c>
      <c r="J31" s="75">
        <f t="shared" si="6"/>
        <v>277.77777777777777</v>
      </c>
      <c r="K31" s="75">
        <f t="shared" si="7"/>
        <v>250</v>
      </c>
    </row>
    <row r="32" spans="1:11">
      <c r="A32" s="118" t="s">
        <v>115</v>
      </c>
      <c r="B32" s="114">
        <f>B26*50/100</f>
        <v>25000</v>
      </c>
      <c r="C32" s="114">
        <f t="shared" si="8"/>
        <v>1041.6666666666667</v>
      </c>
      <c r="D32" s="114">
        <f t="shared" si="9"/>
        <v>694.44444444444446</v>
      </c>
      <c r="E32" s="114">
        <f t="shared" si="1"/>
        <v>520.83333333333337</v>
      </c>
      <c r="F32" s="119">
        <f t="shared" si="2"/>
        <v>416.66666666666669</v>
      </c>
      <c r="G32" s="120">
        <f t="shared" si="3"/>
        <v>347.22222222222223</v>
      </c>
      <c r="H32" s="121">
        <f t="shared" si="4"/>
        <v>297.61904761904759</v>
      </c>
      <c r="I32" s="120">
        <f t="shared" si="5"/>
        <v>260.41666666666669</v>
      </c>
      <c r="J32" s="75">
        <f t="shared" si="6"/>
        <v>231.4814814814815</v>
      </c>
      <c r="K32" s="75">
        <f t="shared" si="7"/>
        <v>208.33333333333334</v>
      </c>
    </row>
    <row r="33" spans="1:11">
      <c r="A33" s="113" t="s">
        <v>116</v>
      </c>
      <c r="B33" s="120">
        <f>B26*40/100</f>
        <v>20000</v>
      </c>
      <c r="C33" s="120">
        <f t="shared" si="8"/>
        <v>833.33333333333337</v>
      </c>
      <c r="D33" s="120">
        <f t="shared" si="9"/>
        <v>555.55555555555554</v>
      </c>
      <c r="E33" s="120">
        <f t="shared" si="1"/>
        <v>416.66666666666669</v>
      </c>
      <c r="F33" s="120">
        <f t="shared" si="2"/>
        <v>333.33333333333331</v>
      </c>
      <c r="G33" s="120">
        <f t="shared" si="3"/>
        <v>277.77777777777777</v>
      </c>
      <c r="H33" s="120">
        <f t="shared" si="4"/>
        <v>238.0952380952381</v>
      </c>
      <c r="I33" s="128">
        <f t="shared" si="5"/>
        <v>208.33333333333334</v>
      </c>
      <c r="J33" s="120">
        <f t="shared" si="6"/>
        <v>185.18518518518519</v>
      </c>
      <c r="K33" s="75">
        <f t="shared" si="7"/>
        <v>166.66666666666666</v>
      </c>
    </row>
    <row r="34" spans="1:11">
      <c r="A34" s="113" t="s">
        <v>117</v>
      </c>
      <c r="B34" s="75">
        <f>B26*30/100</f>
        <v>15000</v>
      </c>
      <c r="C34" s="75">
        <f t="shared" si="8"/>
        <v>625</v>
      </c>
      <c r="D34" s="75">
        <f t="shared" si="9"/>
        <v>416.66666666666669</v>
      </c>
      <c r="E34" s="75">
        <f t="shared" si="1"/>
        <v>312.5</v>
      </c>
      <c r="F34" s="75">
        <f t="shared" si="2"/>
        <v>250</v>
      </c>
      <c r="G34" s="75">
        <f t="shared" si="3"/>
        <v>208.33333333333334</v>
      </c>
      <c r="H34" s="75">
        <f t="shared" si="4"/>
        <v>178.57142857142858</v>
      </c>
      <c r="I34" s="75">
        <f t="shared" si="5"/>
        <v>156.25</v>
      </c>
      <c r="J34" s="75">
        <f t="shared" si="6"/>
        <v>138.88888888888889</v>
      </c>
      <c r="K34" s="75">
        <f t="shared" si="7"/>
        <v>125</v>
      </c>
    </row>
    <row r="35" spans="1:11">
      <c r="A35" s="122" t="s">
        <v>118</v>
      </c>
      <c r="B35" s="75">
        <f>B26*25/100</f>
        <v>12500</v>
      </c>
      <c r="C35" s="75">
        <f t="shared" si="8"/>
        <v>520.83333333333337</v>
      </c>
      <c r="D35" s="75">
        <f t="shared" si="9"/>
        <v>347.22222222222223</v>
      </c>
      <c r="E35" s="75">
        <f t="shared" si="1"/>
        <v>260.41666666666669</v>
      </c>
      <c r="F35" s="75">
        <f t="shared" si="2"/>
        <v>208.33333333333334</v>
      </c>
      <c r="G35" s="75">
        <f t="shared" si="3"/>
        <v>173.61111111111111</v>
      </c>
      <c r="H35" s="75">
        <f t="shared" si="4"/>
        <v>148.8095238095238</v>
      </c>
      <c r="I35" s="75">
        <f t="shared" si="5"/>
        <v>130.20833333333334</v>
      </c>
      <c r="J35" s="75">
        <f t="shared" si="6"/>
        <v>115.74074074074075</v>
      </c>
      <c r="K35" s="75">
        <f t="shared" si="7"/>
        <v>104.16666666666667</v>
      </c>
    </row>
    <row r="36" spans="1:11">
      <c r="A36" s="122" t="s">
        <v>119</v>
      </c>
      <c r="B36" s="75">
        <f>B26*20/100</f>
        <v>10000</v>
      </c>
      <c r="C36" s="75">
        <f t="shared" si="8"/>
        <v>416.66666666666669</v>
      </c>
      <c r="D36" s="75">
        <f t="shared" si="9"/>
        <v>277.77777777777777</v>
      </c>
      <c r="E36" s="75">
        <f t="shared" si="1"/>
        <v>208.33333333333334</v>
      </c>
      <c r="F36" s="75">
        <f t="shared" si="2"/>
        <v>166.66666666666666</v>
      </c>
      <c r="G36" s="75">
        <f t="shared" si="3"/>
        <v>138.88888888888889</v>
      </c>
      <c r="H36" s="75">
        <f t="shared" si="4"/>
        <v>119.04761904761905</v>
      </c>
      <c r="I36" s="75">
        <f t="shared" si="5"/>
        <v>104.16666666666667</v>
      </c>
      <c r="J36" s="75">
        <f t="shared" si="6"/>
        <v>92.592592592592595</v>
      </c>
      <c r="K36" s="75">
        <f t="shared" si="7"/>
        <v>83.333333333333329</v>
      </c>
    </row>
    <row r="37" spans="1:11">
      <c r="A37" s="113" t="s">
        <v>120</v>
      </c>
      <c r="B37" s="123">
        <f>B26*2/100</f>
        <v>1000</v>
      </c>
      <c r="C37" s="120">
        <f t="shared" si="8"/>
        <v>41.666666666666664</v>
      </c>
      <c r="D37" s="120">
        <f t="shared" si="9"/>
        <v>27.777777777777779</v>
      </c>
      <c r="E37" s="120">
        <f t="shared" si="1"/>
        <v>20.833333333333332</v>
      </c>
      <c r="F37" s="120">
        <f t="shared" si="2"/>
        <v>16.666666666666668</v>
      </c>
      <c r="G37" s="121">
        <f t="shared" si="3"/>
        <v>13.888888888888889</v>
      </c>
      <c r="H37" s="75">
        <f t="shared" si="4"/>
        <v>11.904761904761905</v>
      </c>
      <c r="I37" s="75">
        <f t="shared" si="5"/>
        <v>10.416666666666666</v>
      </c>
      <c r="J37" s="75">
        <f t="shared" si="6"/>
        <v>9.2592592592592595</v>
      </c>
      <c r="K37" s="75">
        <f t="shared" si="7"/>
        <v>8.3333333333333339</v>
      </c>
    </row>
  </sheetData>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5:L13"/>
  <sheetViews>
    <sheetView topLeftCell="A4" workbookViewId="0">
      <selection activeCell="J9" sqref="J9"/>
    </sheetView>
  </sheetViews>
  <sheetFormatPr baseColWidth="10" defaultColWidth="11" defaultRowHeight="15"/>
  <cols>
    <col min="1" max="1" width="12" customWidth="1"/>
    <col min="2" max="2" width="25.42578125" customWidth="1"/>
    <col min="3" max="3" width="11.140625" customWidth="1"/>
    <col min="4" max="4" width="8.42578125" customWidth="1"/>
  </cols>
  <sheetData>
    <row r="5" spans="1:12">
      <c r="A5" s="1"/>
      <c r="B5" s="2" t="s">
        <v>149</v>
      </c>
      <c r="C5" s="3"/>
      <c r="D5" s="4"/>
      <c r="I5" s="14"/>
      <c r="J5" s="14"/>
      <c r="K5" s="14"/>
      <c r="L5" s="14"/>
    </row>
    <row r="6" spans="1:12" ht="48.75">
      <c r="A6" s="5" t="s">
        <v>150</v>
      </c>
      <c r="B6" s="6" t="s">
        <v>151</v>
      </c>
      <c r="C6" s="7" t="s">
        <v>152</v>
      </c>
      <c r="D6" s="8" t="s">
        <v>153</v>
      </c>
      <c r="E6" s="9"/>
      <c r="F6" s="10"/>
      <c r="G6" s="11"/>
      <c r="I6" s="14"/>
      <c r="J6" s="14"/>
      <c r="K6" s="14"/>
    </row>
    <row r="7" spans="1:12">
      <c r="A7" s="12">
        <f>ACREEDORES!C9</f>
        <v>14754.91</v>
      </c>
      <c r="B7" s="13"/>
      <c r="C7" s="14"/>
      <c r="D7" s="15"/>
      <c r="E7" s="9"/>
      <c r="F7" s="14"/>
      <c r="G7" s="14"/>
      <c r="H7" s="14"/>
      <c r="I7" s="14"/>
      <c r="J7" s="14"/>
      <c r="K7" s="14"/>
    </row>
    <row r="8" spans="1:12">
      <c r="A8" s="12"/>
      <c r="B8" s="13"/>
      <c r="C8" s="14"/>
      <c r="D8" s="15"/>
      <c r="E8" s="9"/>
      <c r="F8" s="14"/>
      <c r="G8" s="14"/>
      <c r="H8" s="14"/>
      <c r="I8" s="14"/>
      <c r="J8" s="14"/>
      <c r="K8" s="14"/>
    </row>
    <row r="9" spans="1:12" ht="36.75">
      <c r="A9" s="16" t="s">
        <v>150</v>
      </c>
      <c r="B9" s="17" t="s">
        <v>154</v>
      </c>
      <c r="C9" s="18" t="s">
        <v>155</v>
      </c>
      <c r="D9" s="19" t="s">
        <v>153</v>
      </c>
      <c r="E9" s="9"/>
      <c r="F9" s="14"/>
      <c r="G9" s="14"/>
      <c r="H9" s="14"/>
      <c r="I9" s="14"/>
      <c r="J9" s="14"/>
      <c r="K9" s="14"/>
    </row>
    <row r="10" spans="1:12">
      <c r="A10" s="12"/>
      <c r="B10" s="13"/>
      <c r="C10" s="20"/>
      <c r="D10" s="15"/>
      <c r="E10" s="9"/>
      <c r="F10" s="14"/>
      <c r="G10" s="14"/>
      <c r="H10" s="14"/>
      <c r="I10" s="14"/>
      <c r="J10" s="14"/>
      <c r="K10" s="14"/>
    </row>
    <row r="11" spans="1:12">
      <c r="A11" s="12"/>
      <c r="B11" s="13"/>
      <c r="C11" s="14"/>
      <c r="D11" s="15"/>
      <c r="E11" s="9"/>
      <c r="F11" s="14"/>
      <c r="G11" s="14"/>
      <c r="H11" s="14"/>
      <c r="I11" s="14"/>
      <c r="J11" s="14"/>
      <c r="K11" s="14"/>
    </row>
    <row r="12" spans="1:12" ht="45">
      <c r="A12" s="21" t="s">
        <v>150</v>
      </c>
      <c r="B12" s="22" t="s">
        <v>156</v>
      </c>
      <c r="C12" s="23" t="s">
        <v>157</v>
      </c>
      <c r="D12" s="24" t="s">
        <v>153</v>
      </c>
      <c r="E12" s="9"/>
      <c r="F12" s="14"/>
      <c r="G12" s="14"/>
      <c r="H12" s="14"/>
      <c r="I12" s="14"/>
      <c r="J12" s="14"/>
      <c r="K12" s="14"/>
    </row>
    <row r="13" spans="1:12">
      <c r="A13" s="25"/>
      <c r="B13" s="26"/>
      <c r="C13" s="27"/>
      <c r="D13" s="28"/>
      <c r="E13" s="14"/>
      <c r="F13" s="14"/>
      <c r="G13" s="14"/>
      <c r="H13" s="14"/>
      <c r="I13" s="14"/>
      <c r="J13" s="14"/>
      <c r="K13" s="1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INFO COMERCIAL</vt:lpstr>
      <vt:lpstr>INFO FORMULARIO</vt:lpstr>
      <vt:lpstr>MEMORIA</vt:lpstr>
      <vt:lpstr>ACREEDORES</vt:lpstr>
      <vt:lpstr>INGRESOS Y GASTOS</vt:lpstr>
      <vt:lpstr>BIENES</vt:lpstr>
      <vt:lpstr>BEPI CON PLAN DE PAGOS</vt:lpstr>
      <vt:lpstr>CONVENIO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CUATRO</dc:creator>
  <cp:keywords/>
  <dc:description/>
  <cp:lastModifiedBy>Sonia Murcia</cp:lastModifiedBy>
  <cp:revision/>
  <dcterms:created xsi:type="dcterms:W3CDTF">2016-08-31T13:03:00Z</dcterms:created>
  <dcterms:modified xsi:type="dcterms:W3CDTF">2025-08-25T10:23:59Z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2E0D1349EDF3493EBA9A3C934E4A948F_12</vt:lpwstr>
  </property>
  <property fmtid="{D5CDD505-2E9C-101B-9397-08002B2CF9AE}" pid="3" name="KSOProductBuildVer">
    <vt:lpwstr>1033-12.2.0.17119</vt:lpwstr>
  </property>
</Properties>
</file>